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自動備份資料夾\Documents\GitHub\Heremay-Smart-Campus\和美智慧校園 v8｜巡堂雙週直式滿版 PDF 完成版\"/>
    </mc:Choice>
  </mc:AlternateContent>
  <xr:revisionPtr revIDLastSave="0" documentId="13_ncr:1_{EE2DE482-4725-402E-8918-EA91DB29DAD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首頁摘要" sheetId="1" r:id="rId1"/>
    <sheet name="員工主檔" sheetId="2" r:id="rId2"/>
    <sheet name="生日名單" sheetId="3" r:id="rId3"/>
    <sheet name="編組與規則" sheetId="4" r:id="rId4"/>
    <sheet name="原始資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3" l="1"/>
  <c r="F31" i="3" s="1"/>
  <c r="C31" i="3"/>
  <c r="B31" i="3"/>
  <c r="A31" i="3"/>
  <c r="D30" i="3"/>
  <c r="F30" i="3" s="1"/>
  <c r="C30" i="3"/>
  <c r="B30" i="3"/>
  <c r="A30" i="3"/>
  <c r="E29" i="3"/>
  <c r="D29" i="3"/>
  <c r="F29" i="3" s="1"/>
  <c r="C29" i="3"/>
  <c r="B29" i="3"/>
  <c r="A29" i="3"/>
  <c r="D28" i="3"/>
  <c r="F28" i="3" s="1"/>
  <c r="C28" i="3"/>
  <c r="B28" i="3"/>
  <c r="A28" i="3"/>
  <c r="D27" i="3"/>
  <c r="F27" i="3" s="1"/>
  <c r="C27" i="3"/>
  <c r="B27" i="3"/>
  <c r="A27" i="3"/>
  <c r="D26" i="3"/>
  <c r="F26" i="3" s="1"/>
  <c r="C26" i="3"/>
  <c r="B26" i="3"/>
  <c r="A26" i="3"/>
  <c r="D25" i="3"/>
  <c r="F25" i="3" s="1"/>
  <c r="C25" i="3"/>
  <c r="B25" i="3"/>
  <c r="A25" i="3"/>
  <c r="E24" i="3"/>
  <c r="D24" i="3"/>
  <c r="F24" i="3" s="1"/>
  <c r="C24" i="3"/>
  <c r="B24" i="3"/>
  <c r="A24" i="3"/>
  <c r="D23" i="3"/>
  <c r="F23" i="3" s="1"/>
  <c r="C23" i="3"/>
  <c r="B23" i="3"/>
  <c r="A23" i="3"/>
  <c r="D22" i="3"/>
  <c r="F22" i="3" s="1"/>
  <c r="C22" i="3"/>
  <c r="B22" i="3"/>
  <c r="A22" i="3"/>
  <c r="D21" i="3"/>
  <c r="F21" i="3" s="1"/>
  <c r="C21" i="3"/>
  <c r="B21" i="3"/>
  <c r="A21" i="3"/>
  <c r="D20" i="3"/>
  <c r="F20" i="3" s="1"/>
  <c r="C20" i="3"/>
  <c r="B20" i="3"/>
  <c r="A20" i="3"/>
  <c r="E19" i="3"/>
  <c r="D19" i="3"/>
  <c r="F19" i="3" s="1"/>
  <c r="C19" i="3"/>
  <c r="B19" i="3"/>
  <c r="A19" i="3"/>
  <c r="D18" i="3"/>
  <c r="F18" i="3" s="1"/>
  <c r="C18" i="3"/>
  <c r="B18" i="3"/>
  <c r="A18" i="3"/>
  <c r="D17" i="3"/>
  <c r="F17" i="3" s="1"/>
  <c r="C17" i="3"/>
  <c r="B17" i="3"/>
  <c r="A17" i="3"/>
  <c r="D16" i="3"/>
  <c r="F16" i="3" s="1"/>
  <c r="C16" i="3"/>
  <c r="B16" i="3"/>
  <c r="A16" i="3"/>
  <c r="D15" i="3"/>
  <c r="F15" i="3" s="1"/>
  <c r="C15" i="3"/>
  <c r="B15" i="3"/>
  <c r="A15" i="3"/>
  <c r="E14" i="3"/>
  <c r="D14" i="3"/>
  <c r="F14" i="3" s="1"/>
  <c r="C14" i="3"/>
  <c r="B14" i="3"/>
  <c r="A14" i="3"/>
  <c r="D13" i="3"/>
  <c r="F13" i="3" s="1"/>
  <c r="C13" i="3"/>
  <c r="B13" i="3"/>
  <c r="A13" i="3"/>
  <c r="D12" i="3"/>
  <c r="F12" i="3" s="1"/>
  <c r="C12" i="3"/>
  <c r="B12" i="3"/>
  <c r="A12" i="3"/>
  <c r="D11" i="3"/>
  <c r="F11" i="3" s="1"/>
  <c r="C11" i="3"/>
  <c r="B11" i="3"/>
  <c r="A11" i="3"/>
  <c r="D10" i="3"/>
  <c r="F10" i="3" s="1"/>
  <c r="C10" i="3"/>
  <c r="B10" i="3"/>
  <c r="A10" i="3"/>
  <c r="D9" i="3"/>
  <c r="F9" i="3" s="1"/>
  <c r="C9" i="3"/>
  <c r="B9" i="3"/>
  <c r="A9" i="3"/>
  <c r="D8" i="3"/>
  <c r="F8" i="3" s="1"/>
  <c r="C8" i="3"/>
  <c r="B8" i="3"/>
  <c r="A8" i="3"/>
  <c r="D7" i="3"/>
  <c r="F7" i="3" s="1"/>
  <c r="C7" i="3"/>
  <c r="B7" i="3"/>
  <c r="A7" i="3"/>
  <c r="D6" i="3"/>
  <c r="F6" i="3" s="1"/>
  <c r="C6" i="3"/>
  <c r="B6" i="3"/>
  <c r="A6" i="3"/>
  <c r="D5" i="3"/>
  <c r="F5" i="3" s="1"/>
  <c r="C5" i="3"/>
  <c r="B5" i="3"/>
  <c r="A5" i="3"/>
  <c r="D4" i="3"/>
  <c r="F4" i="3" s="1"/>
  <c r="C4" i="3"/>
  <c r="B4" i="3"/>
  <c r="A4" i="3"/>
  <c r="D3" i="3"/>
  <c r="F3" i="3" s="1"/>
  <c r="C3" i="3"/>
  <c r="B3" i="3"/>
  <c r="A3" i="3"/>
  <c r="D2" i="3"/>
  <c r="F2" i="3" s="1"/>
  <c r="C2" i="3"/>
  <c r="B2" i="3"/>
  <c r="A2" i="3"/>
  <c r="L31" i="2"/>
  <c r="E31" i="3" s="1"/>
  <c r="L30" i="2"/>
  <c r="E30" i="3" s="1"/>
  <c r="L29" i="2"/>
  <c r="L28" i="2"/>
  <c r="E28" i="3" s="1"/>
  <c r="L27" i="2"/>
  <c r="E27" i="3" s="1"/>
  <c r="L26" i="2"/>
  <c r="E26" i="3" s="1"/>
  <c r="L25" i="2"/>
  <c r="E25" i="3" s="1"/>
  <c r="L24" i="2"/>
  <c r="L23" i="2"/>
  <c r="E23" i="3" s="1"/>
  <c r="L22" i="2"/>
  <c r="E22" i="3" s="1"/>
  <c r="L21" i="2"/>
  <c r="E21" i="3" s="1"/>
  <c r="L20" i="2"/>
  <c r="E20" i="3" s="1"/>
  <c r="L19" i="2"/>
  <c r="L18" i="2"/>
  <c r="E18" i="3" s="1"/>
  <c r="L17" i="2"/>
  <c r="E17" i="3" s="1"/>
  <c r="L16" i="2"/>
  <c r="E16" i="3" s="1"/>
  <c r="L15" i="2"/>
  <c r="E15" i="3" s="1"/>
  <c r="L14" i="2"/>
  <c r="L13" i="2"/>
  <c r="E13" i="3" s="1"/>
  <c r="L12" i="2"/>
  <c r="E12" i="3" s="1"/>
  <c r="L11" i="2"/>
  <c r="E11" i="3" s="1"/>
  <c r="L10" i="2"/>
  <c r="E10" i="3" s="1"/>
  <c r="L9" i="2"/>
  <c r="E9" i="3" s="1"/>
  <c r="L8" i="2"/>
  <c r="E8" i="3" s="1"/>
  <c r="L7" i="2"/>
  <c r="E7" i="3" s="1"/>
  <c r="L6" i="2"/>
  <c r="E6" i="3" s="1"/>
  <c r="L5" i="2"/>
  <c r="E5" i="3" s="1"/>
  <c r="L4" i="2"/>
  <c r="E4" i="3" s="1"/>
  <c r="L3" i="2"/>
  <c r="E3" i="3" s="1"/>
  <c r="L2" i="2"/>
  <c r="E2" i="3" s="1"/>
</calcChain>
</file>

<file path=xl/sharedStrings.xml><?xml version="1.0" encoding="utf-8"?>
<sst xmlns="http://schemas.openxmlformats.org/spreadsheetml/2006/main" count="1227" uniqueCount="336">
  <si>
    <t>和美智慧校園｜員工主檔整理版</t>
  </si>
  <si>
    <t>項目</t>
  </si>
  <si>
    <t>數量</t>
  </si>
  <si>
    <t>設計原則</t>
  </si>
  <si>
    <t>員工總數</t>
  </si>
  <si>
    <t>1</t>
  </si>
  <si>
    <t>生日只供慶生提醒；一般畫面只顯示月/日，不顯示年份與年齡。</t>
  </si>
  <si>
    <t>在職員工</t>
  </si>
  <si>
    <t>2</t>
  </si>
  <si>
    <t>廚工、清潔、戶外維護歸入庶務組。</t>
  </si>
  <si>
    <t>管理首頁</t>
  </si>
  <si>
    <t>3</t>
  </si>
  <si>
    <t>謝子元、吳玉瑩園長、謝秉儒主任進入管理首頁。</t>
  </si>
  <si>
    <t>教保首頁</t>
  </si>
  <si>
    <t>4</t>
  </si>
  <si>
    <t>幼兒部與安親部均可進教保首頁，但編組仍分開保留。</t>
  </si>
  <si>
    <t>庶務首頁</t>
  </si>
  <si>
    <t>5</t>
  </si>
  <si>
    <t>原始資料保留於「原始資料」工作表，方便追溯。</t>
  </si>
  <si>
    <t>LINE已綁定</t>
  </si>
  <si>
    <t>6</t>
  </si>
  <si>
    <t>後續刷臉與帳密登入可依首頁類型導向。</t>
  </si>
  <si>
    <t>生日已填</t>
  </si>
  <si>
    <t>員工編號</t>
  </si>
  <si>
    <t>姓名</t>
  </si>
  <si>
    <t>登入帳號</t>
  </si>
  <si>
    <t>職稱</t>
  </si>
  <si>
    <t>身分類別</t>
  </si>
  <si>
    <t>編組</t>
  </si>
  <si>
    <t>首頁類型</t>
  </si>
  <si>
    <t>員工類型</t>
  </si>
  <si>
    <t>職務狀態</t>
  </si>
  <si>
    <t>到職日期</t>
  </si>
  <si>
    <t>生日</t>
  </si>
  <si>
    <t>生日顯示</t>
  </si>
  <si>
    <t>出勤規則</t>
  </si>
  <si>
    <t>請假規則</t>
  </si>
  <si>
    <t>LINE狀態</t>
  </si>
  <si>
    <t>是否可登入</t>
  </si>
  <si>
    <t>部門原始值</t>
  </si>
  <si>
    <t>直屬主管員編</t>
  </si>
  <si>
    <t>備註</t>
  </si>
  <si>
    <t>E08</t>
  </si>
  <si>
    <t>徐美惠</t>
  </si>
  <si>
    <t>a550901g@yahoo.com.tw</t>
  </si>
  <si>
    <t>教保員</t>
  </si>
  <si>
    <t>教保人員</t>
  </si>
  <si>
    <t>幼兒部</t>
  </si>
  <si>
    <t>全職</t>
  </si>
  <si>
    <t>在職</t>
  </si>
  <si>
    <t>出勤規則(非固定時間,排班制)</t>
  </si>
  <si>
    <t>正職人員休假規則</t>
  </si>
  <si>
    <t>已綁定</t>
  </si>
  <si>
    <t>是</t>
  </si>
  <si>
    <t>02</t>
  </si>
  <si>
    <t>O02</t>
  </si>
  <si>
    <t>羅易文</t>
  </si>
  <si>
    <t>loyiwe67@yahoo.com</t>
  </si>
  <si>
    <t>戶外維護</t>
  </si>
  <si>
    <t>庶務人員</t>
  </si>
  <si>
    <t>庶務組</t>
  </si>
  <si>
    <t>兼職</t>
  </si>
  <si>
    <t>時薪人員</t>
  </si>
  <si>
    <t>行政部</t>
  </si>
  <si>
    <t>01</t>
  </si>
  <si>
    <t>由原行政部依職稱轉入庶務組</t>
  </si>
  <si>
    <t>P04</t>
  </si>
  <si>
    <t>王藝蓉</t>
  </si>
  <si>
    <t>wang76920@yahoo.com.tw</t>
  </si>
  <si>
    <t>安親部</t>
  </si>
  <si>
    <t>O03</t>
  </si>
  <si>
    <t>劉淑娟</t>
  </si>
  <si>
    <t>lsg53216@gmail.com</t>
  </si>
  <si>
    <t>廚工</t>
  </si>
  <si>
    <t>O01</t>
  </si>
  <si>
    <t>謝惠珍</t>
  </si>
  <si>
    <t>a0919951622@gmail.com</t>
  </si>
  <si>
    <t>E19</t>
  </si>
  <si>
    <t>張羽涵</t>
  </si>
  <si>
    <t>hannah0126015@gmail.com</t>
  </si>
  <si>
    <t>E15</t>
  </si>
  <si>
    <t>陳子盼</t>
  </si>
  <si>
    <t>chenzipan44@gmail.com</t>
  </si>
  <si>
    <t>E03</t>
  </si>
  <si>
    <t>陳淑蓉</t>
  </si>
  <si>
    <t>ss4563tw@gmail.com</t>
  </si>
  <si>
    <t>謝子元</t>
  </si>
  <si>
    <t>jack159966@gmail.com</t>
  </si>
  <si>
    <t>負責人</t>
  </si>
  <si>
    <t>管理層</t>
  </si>
  <si>
    <t>行政組</t>
  </si>
  <si>
    <t>出勤規則(每週固定時間上下班)</t>
  </si>
  <si>
    <t>無原部門；依職稱/管理身分歸行政組</t>
  </si>
  <si>
    <t>吳玉瑩</t>
  </si>
  <si>
    <t>r89110041@yahoo.com.tw</t>
  </si>
  <si>
    <t>園長</t>
  </si>
  <si>
    <t>E04</t>
  </si>
  <si>
    <t>呂昭慧</t>
  </si>
  <si>
    <t>a0911208066@gmail.com</t>
  </si>
  <si>
    <t>E01</t>
  </si>
  <si>
    <t>呂綉萍</t>
  </si>
  <si>
    <t>d20016237@gmail.com</t>
  </si>
  <si>
    <t>教學組長</t>
  </si>
  <si>
    <t>E13</t>
  </si>
  <si>
    <t>林恬寧</t>
  </si>
  <si>
    <t>a0955708342@gmail.com</t>
  </si>
  <si>
    <t>E07</t>
  </si>
  <si>
    <t>許芸瑄</t>
  </si>
  <si>
    <t>wandy91012349@gmail.com</t>
  </si>
  <si>
    <t>03</t>
  </si>
  <si>
    <t>謝秉儒</t>
  </si>
  <si>
    <t>jm104032@gmail.com</t>
  </si>
  <si>
    <t>主任</t>
  </si>
  <si>
    <t>E17</t>
  </si>
  <si>
    <t>唐巧羚</t>
  </si>
  <si>
    <t>Cheer53141@gmail.com</t>
  </si>
  <si>
    <t>E18</t>
  </si>
  <si>
    <t>張庭瑄</t>
  </si>
  <si>
    <t>amy8558tw9@gmail.com</t>
  </si>
  <si>
    <t>P03</t>
  </si>
  <si>
    <t>劉艾倫</t>
  </si>
  <si>
    <t>a0981133103@gmail.com</t>
  </si>
  <si>
    <t>P05</t>
  </si>
  <si>
    <t>許嘉芸</t>
  </si>
  <si>
    <t>h1000110@yahoo.com.tw</t>
  </si>
  <si>
    <t>E14</t>
  </si>
  <si>
    <t>許亞霖</t>
  </si>
  <si>
    <t>xu6148610@gmail.com</t>
  </si>
  <si>
    <t>E06</t>
  </si>
  <si>
    <t>楊雅甄</t>
  </si>
  <si>
    <t>caota811007@yahoo.com.tw</t>
  </si>
  <si>
    <t>E16</t>
  </si>
  <si>
    <t>倪學翠</t>
  </si>
  <si>
    <t>vickyni501@gmail.com</t>
  </si>
  <si>
    <t>E02</t>
  </si>
  <si>
    <t>劉羽晴</t>
  </si>
  <si>
    <t>ching082325@gmail.com</t>
  </si>
  <si>
    <t>E11</t>
  </si>
  <si>
    <t>陳憶馨</t>
  </si>
  <si>
    <t>yappy8211925@gmail.com</t>
  </si>
  <si>
    <t>E09</t>
  </si>
  <si>
    <t>葉秀敏</t>
  </si>
  <si>
    <t>much4955@yahoo.com.tw</t>
  </si>
  <si>
    <t>P02</t>
  </si>
  <si>
    <t>江謝惠菁</t>
  </si>
  <si>
    <t>ching630924@yahoo.com.tw</t>
  </si>
  <si>
    <t>E05</t>
  </si>
  <si>
    <t>黃雯君</t>
  </si>
  <si>
    <t>k2825702@yahoo.com.tw</t>
  </si>
  <si>
    <t>E10</t>
  </si>
  <si>
    <t>陳玟婷</t>
  </si>
  <si>
    <t>a0970891336@gmail.com</t>
  </si>
  <si>
    <t>E12</t>
  </si>
  <si>
    <t>鄭憶茹</t>
  </si>
  <si>
    <t>s23623680@yahoo.com.tw</t>
  </si>
  <si>
    <t>P01</t>
  </si>
  <si>
    <t>吳玉華</t>
  </si>
  <si>
    <t>eva19730@yahoo.com.tw</t>
  </si>
  <si>
    <t>安親主任</t>
  </si>
  <si>
    <t>本月壽星</t>
  </si>
  <si>
    <t>類別</t>
  </si>
  <si>
    <t>可選值</t>
  </si>
  <si>
    <t>說明</t>
  </si>
  <si>
    <t>生日欄位保護原則</t>
  </si>
  <si>
    <t>可查看管理、出勤、公告、巡堂等管理功能</t>
  </si>
  <si>
    <t>系統內部</t>
  </si>
  <si>
    <t>可保留完整生日</t>
  </si>
  <si>
    <t>例如 1985/07/18</t>
  </si>
  <si>
    <t>供排序與提醒</t>
  </si>
  <si>
    <t>幼兒部與安親部的教保相關人員</t>
  </si>
  <si>
    <t>一般首頁</t>
  </si>
  <si>
    <t>只顯示月日</t>
  </si>
  <si>
    <t>例如 7月18日</t>
  </si>
  <si>
    <t>不顯示出生年份</t>
  </si>
  <si>
    <t>廚工、清潔、戶外維護等</t>
  </si>
  <si>
    <t>公告內容</t>
  </si>
  <si>
    <t>不顯示年齡</t>
  </si>
  <si>
    <t>只寫生日祝福</t>
  </si>
  <si>
    <t>避免透露年齡</t>
  </si>
  <si>
    <t>負責人、園長、主任等</t>
  </si>
  <si>
    <t>管理建議</t>
  </si>
  <si>
    <t>生日資料視為個資</t>
  </si>
  <si>
    <t>只開放必要管理人員維護</t>
  </si>
  <si>
    <t>幼兒部教保人員</t>
  </si>
  <si>
    <t>安親部教保人員</t>
  </si>
  <si>
    <t>管理層登入後導向</t>
  </si>
  <si>
    <t>幼兒部、安親部登入後導向</t>
  </si>
  <si>
    <t>庶務人員登入後導向</t>
  </si>
  <si>
    <t>在職且帳號啟用</t>
  </si>
  <si>
    <t>否</t>
  </si>
  <si>
    <t>離職、停用或暫不開放</t>
  </si>
  <si>
    <t>帳號登入方式</t>
  </si>
  <si>
    <t>基本資料</t>
  </si>
  <si>
    <t>聯絡資料</t>
  </si>
  <si>
    <t>緊急聯絡人</t>
  </si>
  <si>
    <t>帳號設定</t>
  </si>
  <si>
    <t>其他</t>
  </si>
  <si>
    <t>職務資料</t>
  </si>
  <si>
    <t>規則設定</t>
  </si>
  <si>
    <t>學歷</t>
  </si>
  <si>
    <t>LINE</t>
  </si>
  <si>
    <t>姓氏</t>
  </si>
  <si>
    <t>名字</t>
  </si>
  <si>
    <t>登入電子信箱</t>
  </si>
  <si>
    <t>登入手機號碼</t>
  </si>
  <si>
    <t>身分證字號</t>
  </si>
  <si>
    <t>出生年月日</t>
  </si>
  <si>
    <t>性別</t>
  </si>
  <si>
    <t>國籍</t>
  </si>
  <si>
    <t>婚姻狀態</t>
  </si>
  <si>
    <t>身份族群</t>
  </si>
  <si>
    <t>兵役狀態</t>
  </si>
  <si>
    <t>退伍日期</t>
  </si>
  <si>
    <t>身障類別</t>
  </si>
  <si>
    <t>公司電子信箱</t>
  </si>
  <si>
    <t>公司電話</t>
  </si>
  <si>
    <t>公司分機</t>
  </si>
  <si>
    <t>住家電話</t>
  </si>
  <si>
    <t>手機</t>
  </si>
  <si>
    <t>私人電子郵件</t>
  </si>
  <si>
    <t>戶籍地址</t>
  </si>
  <si>
    <t>通訊地址</t>
  </si>
  <si>
    <t>緊急聯絡人姓名</t>
  </si>
  <si>
    <t>緊急聯絡人關係</t>
  </si>
  <si>
    <t>緊急聯絡人電話</t>
  </si>
  <si>
    <t>緊急聯絡人手機</t>
  </si>
  <si>
    <t>緊急聯絡人備註</t>
  </si>
  <si>
    <t>啟用帳號</t>
  </si>
  <si>
    <t>預設時區</t>
  </si>
  <si>
    <t>人資備註</t>
  </si>
  <si>
    <t>員工職稱</t>
  </si>
  <si>
    <t>部門</t>
  </si>
  <si>
    <t>職位</t>
  </si>
  <si>
    <t>職等</t>
  </si>
  <si>
    <t>職務代理人</t>
  </si>
  <si>
    <t>部分工時勞工</t>
  </si>
  <si>
    <t>試用期滿日</t>
  </si>
  <si>
    <t>年資調整</t>
  </si>
  <si>
    <t>離職最後工作日</t>
  </si>
  <si>
    <t>離職原因</t>
  </si>
  <si>
    <t>行事曆</t>
  </si>
  <si>
    <t>學歷類別</t>
  </si>
  <si>
    <t>學校名稱</t>
  </si>
  <si>
    <t>科系</t>
  </si>
  <si>
    <t>就學狀態</t>
  </si>
  <si>
    <t>就學開始日期</t>
  </si>
  <si>
    <t>就學結束日期</t>
  </si>
  <si>
    <t>最高學歷</t>
  </si>
  <si>
    <t>官方LINE帳號</t>
  </si>
  <si>
    <t>徐</t>
  </si>
  <si>
    <t>美惠</t>
  </si>
  <si>
    <t>女</t>
  </si>
  <si>
    <t>啟用</t>
  </si>
  <si>
    <t>非管理職</t>
  </si>
  <si>
    <t>2022/07/29</t>
  </si>
  <si>
    <t>不調整</t>
  </si>
  <si>
    <t>人事行政局行事曆</t>
  </si>
  <si>
    <t>羅</t>
  </si>
  <si>
    <t>易文</t>
  </si>
  <si>
    <t>男</t>
  </si>
  <si>
    <t>2023/07/21</t>
  </si>
  <si>
    <t>王</t>
  </si>
  <si>
    <t>藝蓉</t>
  </si>
  <si>
    <t>2021/10/14</t>
  </si>
  <si>
    <t>劉</t>
  </si>
  <si>
    <t>淑娟</t>
  </si>
  <si>
    <t>2025/02/01</t>
  </si>
  <si>
    <t>謝</t>
  </si>
  <si>
    <t>惠珍</t>
  </si>
  <si>
    <t>張</t>
  </si>
  <si>
    <t>羽涵</t>
  </si>
  <si>
    <t>2025/07/31</t>
  </si>
  <si>
    <t>陳</t>
  </si>
  <si>
    <t>子盼</t>
  </si>
  <si>
    <t>台灣</t>
  </si>
  <si>
    <t>原住民</t>
  </si>
  <si>
    <t>2024/05/10</t>
  </si>
  <si>
    <t>淑蓉</t>
  </si>
  <si>
    <t>2017/08/01</t>
  </si>
  <si>
    <t>子元</t>
  </si>
  <si>
    <t>高階主管</t>
  </si>
  <si>
    <t>1994/08/01</t>
  </si>
  <si>
    <t>吳</t>
  </si>
  <si>
    <t>玉瑩</t>
  </si>
  <si>
    <t>呂</t>
  </si>
  <si>
    <t>昭慧</t>
  </si>
  <si>
    <t>1999/01/01</t>
  </si>
  <si>
    <t>綉萍</t>
  </si>
  <si>
    <t>2002/09/01</t>
  </si>
  <si>
    <t>林</t>
  </si>
  <si>
    <t>恬寧</t>
  </si>
  <si>
    <t>2018/08/08</t>
  </si>
  <si>
    <t>許</t>
  </si>
  <si>
    <t>芸瑄</t>
  </si>
  <si>
    <t>2024/07/01</t>
  </si>
  <si>
    <t>秉儒</t>
  </si>
  <si>
    <t>1996/10/04</t>
  </si>
  <si>
    <t>中階主管</t>
  </si>
  <si>
    <t>2020/08/01</t>
  </si>
  <si>
    <t>唐</t>
  </si>
  <si>
    <t>巧羚</t>
  </si>
  <si>
    <t>2018/05/26</t>
  </si>
  <si>
    <t>庭瑄</t>
  </si>
  <si>
    <t>2018/07/18</t>
  </si>
  <si>
    <t>艾倫</t>
  </si>
  <si>
    <t>2007/08/01</t>
  </si>
  <si>
    <t>嘉芸</t>
  </si>
  <si>
    <t>2019/08/01</t>
  </si>
  <si>
    <t>亞霖</t>
  </si>
  <si>
    <t>2024/06/11</t>
  </si>
  <si>
    <t>楊</t>
  </si>
  <si>
    <t>雅甄</t>
  </si>
  <si>
    <t>2025/07/21</t>
  </si>
  <si>
    <t>倪</t>
  </si>
  <si>
    <t>學翠</t>
  </si>
  <si>
    <t>2020/07/27</t>
  </si>
  <si>
    <t>羽晴</t>
  </si>
  <si>
    <t>2025/07/28</t>
  </si>
  <si>
    <t>憶馨</t>
  </si>
  <si>
    <t>2023/01/17</t>
  </si>
  <si>
    <t>葉</t>
  </si>
  <si>
    <t>秀敏</t>
  </si>
  <si>
    <t>2023/08/16</t>
  </si>
  <si>
    <t>江謝</t>
  </si>
  <si>
    <t>惠菁</t>
  </si>
  <si>
    <t>2003/08/01</t>
  </si>
  <si>
    <t>黃</t>
  </si>
  <si>
    <t>雯君</t>
  </si>
  <si>
    <t>玟婷</t>
  </si>
  <si>
    <t>2023/01/09</t>
  </si>
  <si>
    <t>鄭</t>
  </si>
  <si>
    <t>憶茹</t>
  </si>
  <si>
    <t>2023/10/01</t>
  </si>
  <si>
    <t>玉華</t>
  </si>
  <si>
    <t>1999/04/01</t>
  </si>
  <si>
    <t>人資備註2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</si>
</sst>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BE185D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FCE7F3"/>
      </patternFill>
    </fill>
    <fill>
      <patternFill patternType="solid">
        <fgColor rgb="FFF5F3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4" borderId="0" xfId="1" applyFont="1" applyFill="1" applyAlignment="1">
      <alignment horizontal="center"/>
    </xf>
    <xf numFmtId="0" fontId="0" fillId="7" borderId="0" xfId="1" applyFont="1" applyFill="1"/>
    <xf numFmtId="1" fontId="3" fillId="7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wrapText="1"/>
    </xf>
    <xf numFmtId="0" fontId="2" fillId="3" borderId="0" xfId="1" applyFont="1" applyFill="1" applyAlignment="1">
      <alignment horizontal="center" wrapText="1"/>
    </xf>
    <xf numFmtId="0" fontId="3" fillId="5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horizontal="center"/>
    </xf>
    <xf numFmtId="0" fontId="0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5">
    <dxf>
      <font>
        <b/>
      </font>
      <fill>
        <patternFill patternType="solid">
          <bgColor rgb="FFFEF3C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CE7F3"/>
        </patternFill>
      </fill>
    </dxf>
    <dxf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MasterTable" displayName="EmployeeMasterTable" ref="A1:S31">
  <tableColumns count="19">
    <tableColumn id="1" xr3:uid="{00000000-0010-0000-0000-000001000000}" name="員工編號"/>
    <tableColumn id="2" xr3:uid="{00000000-0010-0000-0000-000002000000}" name="姓名"/>
    <tableColumn id="3" xr3:uid="{00000000-0010-0000-0000-000003000000}" name="登入帳號"/>
    <tableColumn id="4" xr3:uid="{00000000-0010-0000-0000-000004000000}" name="職稱"/>
    <tableColumn id="5" xr3:uid="{00000000-0010-0000-0000-000005000000}" name="身分類別"/>
    <tableColumn id="6" xr3:uid="{00000000-0010-0000-0000-000006000000}" name="編組"/>
    <tableColumn id="7" xr3:uid="{00000000-0010-0000-0000-000007000000}" name="首頁類型"/>
    <tableColumn id="8" xr3:uid="{00000000-0010-0000-0000-000008000000}" name="員工類型"/>
    <tableColumn id="9" xr3:uid="{00000000-0010-0000-0000-000009000000}" name="職務狀態"/>
    <tableColumn id="10" xr3:uid="{00000000-0010-0000-0000-00000A000000}" name="到職日期"/>
    <tableColumn id="11" xr3:uid="{00000000-0010-0000-0000-00000B000000}" name="生日"/>
    <tableColumn id="12" xr3:uid="{00000000-0010-0000-0000-00000C000000}" name="生日顯示"/>
    <tableColumn id="13" xr3:uid="{00000000-0010-0000-0000-00000D000000}" name="出勤規則"/>
    <tableColumn id="14" xr3:uid="{00000000-0010-0000-0000-00000E000000}" name="請假規則"/>
    <tableColumn id="15" xr3:uid="{00000000-0010-0000-0000-00000F000000}" name="LINE狀態"/>
    <tableColumn id="16" xr3:uid="{00000000-0010-0000-0000-000010000000}" name="是否可登入"/>
    <tableColumn id="17" xr3:uid="{00000000-0010-0000-0000-000011000000}" name="部門原始值"/>
    <tableColumn id="18" xr3:uid="{00000000-0010-0000-0000-000012000000}" name="直屬主管員編"/>
    <tableColumn id="19" xr3:uid="{00000000-0010-0000-0000-000013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rthdayTable" displayName="BirthdayTable" ref="A1:G31">
  <tableColumns count="7">
    <tableColumn id="1" xr3:uid="{00000000-0010-0000-0100-000001000000}" name="姓名"/>
    <tableColumn id="2" xr3:uid="{00000000-0010-0000-0100-000002000000}" name="編組"/>
    <tableColumn id="3" xr3:uid="{00000000-0010-0000-0100-000003000000}" name="職稱"/>
    <tableColumn id="4" xr3:uid="{00000000-0010-0000-0100-000004000000}" name="生日"/>
    <tableColumn id="5" xr3:uid="{00000000-0010-0000-0100-000005000000}" name="生日顯示"/>
    <tableColumn id="6" xr3:uid="{00000000-0010-0000-0100-000006000000}" name="本月壽星"/>
    <tableColumn id="7" xr3:uid="{00000000-0010-0000-0100-000007000000}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lesTable" displayName="RulesTable" ref="A1:C13">
  <tableColumns count="3">
    <tableColumn id="1" xr3:uid="{00000000-0010-0000-0200-000001000000}" name="類別"/>
    <tableColumn id="2" xr3:uid="{00000000-0010-0000-0200-000002000000}" name="可選值"/>
    <tableColumn id="3" xr3:uid="{00000000-0010-0000-0200-000003000000}" name="說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PunchStarTable" displayName="RawPunchStarTable" ref="A2:BE32">
  <tableColumns count="57">
    <tableColumn id="1" xr3:uid="{00000000-0010-0000-0300-000001000000}" name="員工編號"/>
    <tableColumn id="2" xr3:uid="{00000000-0010-0000-0300-000002000000}" name="姓氏"/>
    <tableColumn id="3" xr3:uid="{00000000-0010-0000-0300-000003000000}" name="名字"/>
    <tableColumn id="4" xr3:uid="{00000000-0010-0000-0300-000004000000}" name="登入電子信箱"/>
    <tableColumn id="5" xr3:uid="{00000000-0010-0000-0300-000005000000}" name="登入手機號碼"/>
    <tableColumn id="6" xr3:uid="{00000000-0010-0000-0300-000006000000}" name="身分證字號"/>
    <tableColumn id="7" xr3:uid="{00000000-0010-0000-0300-000007000000}" name="出生年月日"/>
    <tableColumn id="8" xr3:uid="{00000000-0010-0000-0300-000008000000}" name="性別"/>
    <tableColumn id="9" xr3:uid="{00000000-0010-0000-0300-000009000000}" name="國籍"/>
    <tableColumn id="10" xr3:uid="{00000000-0010-0000-0300-00000A000000}" name="婚姻狀態"/>
    <tableColumn id="11" xr3:uid="{00000000-0010-0000-0300-00000B000000}" name="身份族群"/>
    <tableColumn id="12" xr3:uid="{00000000-0010-0000-0300-00000C000000}" name="兵役狀態"/>
    <tableColumn id="13" xr3:uid="{00000000-0010-0000-0300-00000D000000}" name="退伍日期"/>
    <tableColumn id="14" xr3:uid="{00000000-0010-0000-0300-00000E000000}" name="身障類別"/>
    <tableColumn id="15" xr3:uid="{00000000-0010-0000-0300-00000F000000}" name="公司電子信箱"/>
    <tableColumn id="16" xr3:uid="{00000000-0010-0000-0300-000010000000}" name="公司電話"/>
    <tableColumn id="17" xr3:uid="{00000000-0010-0000-0300-000011000000}" name="公司分機"/>
    <tableColumn id="18" xr3:uid="{00000000-0010-0000-0300-000012000000}" name="住家電話"/>
    <tableColumn id="19" xr3:uid="{00000000-0010-0000-0300-000013000000}" name="手機"/>
    <tableColumn id="20" xr3:uid="{00000000-0010-0000-0300-000014000000}" name="私人電子郵件"/>
    <tableColumn id="21" xr3:uid="{00000000-0010-0000-0300-000015000000}" name="戶籍地址"/>
    <tableColumn id="22" xr3:uid="{00000000-0010-0000-0300-000016000000}" name="通訊地址"/>
    <tableColumn id="23" xr3:uid="{00000000-0010-0000-0300-000017000000}" name="緊急聯絡人姓名"/>
    <tableColumn id="24" xr3:uid="{00000000-0010-0000-0300-000018000000}" name="緊急聯絡人關係"/>
    <tableColumn id="25" xr3:uid="{00000000-0010-0000-0300-000019000000}" name="緊急聯絡人電話"/>
    <tableColumn id="26" xr3:uid="{00000000-0010-0000-0300-00001A000000}" name="緊急聯絡人手機"/>
    <tableColumn id="27" xr3:uid="{00000000-0010-0000-0300-00001B000000}" name="緊急聯絡人備註"/>
    <tableColumn id="28" xr3:uid="{00000000-0010-0000-0300-00001C000000}" name="啟用帳號"/>
    <tableColumn id="29" xr3:uid="{00000000-0010-0000-0300-00001D000000}" name="預設時區"/>
    <tableColumn id="30" xr3:uid="{00000000-0010-0000-0300-00001E000000}" name="人資備註"/>
    <tableColumn id="31" xr3:uid="{00000000-0010-0000-0300-00001F000000}" name="員工職稱"/>
    <tableColumn id="32" xr3:uid="{00000000-0010-0000-0300-000020000000}" name="員工類型"/>
    <tableColumn id="33" xr3:uid="{00000000-0010-0000-0300-000021000000}" name="部門"/>
    <tableColumn id="34" xr3:uid="{00000000-0010-0000-0300-000022000000}" name="直屬主管員編"/>
    <tableColumn id="35" xr3:uid="{00000000-0010-0000-0300-000023000000}" name="職位"/>
    <tableColumn id="36" xr3:uid="{00000000-0010-0000-0300-000024000000}" name="職等"/>
    <tableColumn id="37" xr3:uid="{00000000-0010-0000-0300-000025000000}" name="職務代理人"/>
    <tableColumn id="38" xr3:uid="{00000000-0010-0000-0300-000026000000}" name="部分工時勞工"/>
    <tableColumn id="39" xr3:uid="{00000000-0010-0000-0300-000027000000}" name="職務狀態"/>
    <tableColumn id="40" xr3:uid="{00000000-0010-0000-0300-000028000000}" name="到職日期"/>
    <tableColumn id="41" xr3:uid="{00000000-0010-0000-0300-000029000000}" name="試用期滿日"/>
    <tableColumn id="42" xr3:uid="{00000000-0010-0000-0300-00002A000000}" name="年資調整"/>
    <tableColumn id="43" xr3:uid="{00000000-0010-0000-0300-00002B000000}" name="離職最後工作日"/>
    <tableColumn id="44" xr3:uid="{00000000-0010-0000-0300-00002C000000}" name="離職原因"/>
    <tableColumn id="45" xr3:uid="{00000000-0010-0000-0300-00002D000000}" name="人資備註2"/>
    <tableColumn id="46" xr3:uid="{00000000-0010-0000-0300-00002E000000}" name="出勤規則"/>
    <tableColumn id="47" xr3:uid="{00000000-0010-0000-0300-00002F000000}" name="請假規則"/>
    <tableColumn id="48" xr3:uid="{00000000-0010-0000-0300-000030000000}" name="行事曆"/>
    <tableColumn id="49" xr3:uid="{00000000-0010-0000-0300-000031000000}" name="學歷類別"/>
    <tableColumn id="50" xr3:uid="{00000000-0010-0000-0300-000032000000}" name="學校名稱"/>
    <tableColumn id="51" xr3:uid="{00000000-0010-0000-0300-000033000000}" name="科系"/>
    <tableColumn id="52" xr3:uid="{00000000-0010-0000-0300-000034000000}" name="就學狀態"/>
    <tableColumn id="53" xr3:uid="{00000000-0010-0000-0300-000035000000}" name="就學開始日期"/>
    <tableColumn id="54" xr3:uid="{00000000-0010-0000-0300-000036000000}" name="就學結束日期"/>
    <tableColumn id="55" xr3:uid="{00000000-0010-0000-0300-000037000000}" name="最高學歷"/>
    <tableColumn id="56" xr3:uid="{00000000-0010-0000-0300-000038000000}" name="備註"/>
    <tableColumn id="57" xr3:uid="{00000000-0010-0000-0300-000039000000}" name="官方LINE帳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4.25"/>
  <cols>
    <col min="1" max="1" width="18" customWidth="1"/>
    <col min="2" max="2" width="10" customWidth="1"/>
    <col min="4" max="4" width="14" customWidth="1"/>
    <col min="5" max="5" width="42" customWidth="1"/>
    <col min="6" max="6" width="10" customWidth="1"/>
  </cols>
  <sheetData>
    <row r="1" spans="1:6" ht="33.950000000000003" customHeight="1">
      <c r="A1" s="11" t="s">
        <v>0</v>
      </c>
      <c r="B1" s="12"/>
      <c r="C1" s="12"/>
      <c r="D1" s="12"/>
      <c r="E1" s="12"/>
      <c r="F1" s="12"/>
    </row>
    <row r="3" spans="1:6" ht="15">
      <c r="A3" s="1" t="s">
        <v>1</v>
      </c>
      <c r="B3" s="1" t="s">
        <v>2</v>
      </c>
      <c r="D3" s="13" t="s">
        <v>3</v>
      </c>
      <c r="E3" s="13"/>
      <c r="F3" s="13"/>
    </row>
    <row r="4" spans="1:6" ht="15">
      <c r="A4" s="2" t="s">
        <v>4</v>
      </c>
      <c r="B4" s="3">
        <v>30</v>
      </c>
      <c r="D4" s="14" t="s">
        <v>5</v>
      </c>
      <c r="E4" s="14" t="s">
        <v>6</v>
      </c>
      <c r="F4" s="14"/>
    </row>
    <row r="5" spans="1:6" ht="15">
      <c r="A5" s="2" t="s">
        <v>7</v>
      </c>
      <c r="B5" s="3">
        <v>30</v>
      </c>
      <c r="D5" s="14" t="s">
        <v>8</v>
      </c>
      <c r="E5" s="14" t="s">
        <v>9</v>
      </c>
      <c r="F5" s="14"/>
    </row>
    <row r="6" spans="1:6" ht="15">
      <c r="A6" s="2" t="s">
        <v>10</v>
      </c>
      <c r="B6" s="3">
        <v>3</v>
      </c>
      <c r="D6" s="14" t="s">
        <v>11</v>
      </c>
      <c r="E6" s="14" t="s">
        <v>12</v>
      </c>
      <c r="F6" s="14"/>
    </row>
    <row r="7" spans="1:6" ht="15">
      <c r="A7" s="2" t="s">
        <v>13</v>
      </c>
      <c r="B7" s="3">
        <v>24</v>
      </c>
      <c r="D7" s="14" t="s">
        <v>14</v>
      </c>
      <c r="E7" s="14" t="s">
        <v>15</v>
      </c>
      <c r="F7" s="14"/>
    </row>
    <row r="8" spans="1:6" ht="15">
      <c r="A8" s="2" t="s">
        <v>16</v>
      </c>
      <c r="B8" s="3">
        <v>3</v>
      </c>
      <c r="D8" s="14" t="s">
        <v>17</v>
      </c>
      <c r="E8" s="14" t="s">
        <v>18</v>
      </c>
      <c r="F8" s="14"/>
    </row>
    <row r="9" spans="1:6" ht="15">
      <c r="A9" s="2" t="s">
        <v>19</v>
      </c>
      <c r="B9" s="3">
        <v>30</v>
      </c>
      <c r="D9" s="14" t="s">
        <v>20</v>
      </c>
      <c r="E9" s="14" t="s">
        <v>21</v>
      </c>
      <c r="F9" s="14"/>
    </row>
    <row r="10" spans="1:6" ht="15">
      <c r="A10" s="2" t="s">
        <v>22</v>
      </c>
      <c r="B10" s="3">
        <v>1</v>
      </c>
    </row>
  </sheetData>
  <mergeCells count="3">
    <mergeCell ref="A1:F1"/>
    <mergeCell ref="D3:F3"/>
    <mergeCell ref="D4:F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/>
  </sheetViews>
  <sheetFormatPr defaultRowHeight="14.25"/>
  <cols>
    <col min="1" max="1" width="10" customWidth="1"/>
    <col min="2" max="2" width="12" customWidth="1"/>
    <col min="3" max="3" width="28" customWidth="1"/>
    <col min="4" max="8" width="12" customWidth="1"/>
    <col min="9" max="9" width="10" customWidth="1"/>
    <col min="10" max="12" width="12" customWidth="1"/>
    <col min="13" max="13" width="26" customWidth="1"/>
    <col min="14" max="14" width="20" customWidth="1"/>
    <col min="15" max="15" width="12" customWidth="1"/>
    <col min="16" max="16" width="10" customWidth="1"/>
    <col min="17" max="18" width="12" customWidth="1"/>
    <col min="19" max="19" width="28" customWidth="1"/>
  </cols>
  <sheetData>
    <row r="1" spans="1:19" ht="26.1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</row>
    <row r="2" spans="1:19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13</v>
      </c>
      <c r="H2" s="5" t="s">
        <v>48</v>
      </c>
      <c r="I2" s="5" t="s">
        <v>49</v>
      </c>
      <c r="J2" s="6">
        <v>44771</v>
      </c>
      <c r="K2" s="6"/>
      <c r="L2" s="5" t="str">
        <f t="shared" ref="L2:L31" si="0">IF(ISBLANK(K2),"",MONTH(K2)&amp;"月"&amp;DAY(K2)&amp;"日")</f>
        <v/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47</v>
      </c>
      <c r="R2" s="5" t="s">
        <v>54</v>
      </c>
      <c r="S2" s="5"/>
    </row>
    <row r="3" spans="1:19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16</v>
      </c>
      <c r="H3" s="5" t="s">
        <v>61</v>
      </c>
      <c r="I3" s="5" t="s">
        <v>49</v>
      </c>
      <c r="J3" s="6">
        <v>45128</v>
      </c>
      <c r="K3" s="6"/>
      <c r="L3" s="5" t="str">
        <f t="shared" si="0"/>
        <v/>
      </c>
      <c r="M3" s="5" t="s">
        <v>62</v>
      </c>
      <c r="N3" s="5" t="s">
        <v>62</v>
      </c>
      <c r="O3" s="5" t="s">
        <v>52</v>
      </c>
      <c r="P3" s="5" t="s">
        <v>53</v>
      </c>
      <c r="Q3" s="5" t="s">
        <v>63</v>
      </c>
      <c r="R3" s="5" t="s">
        <v>64</v>
      </c>
      <c r="S3" s="5" t="s">
        <v>65</v>
      </c>
    </row>
    <row r="4" spans="1:19">
      <c r="A4" s="5" t="s">
        <v>66</v>
      </c>
      <c r="B4" s="5" t="s">
        <v>67</v>
      </c>
      <c r="C4" s="5" t="s">
        <v>68</v>
      </c>
      <c r="D4" s="5" t="s">
        <v>45</v>
      </c>
      <c r="E4" s="5" t="s">
        <v>46</v>
      </c>
      <c r="F4" s="5" t="s">
        <v>69</v>
      </c>
      <c r="G4" s="5" t="s">
        <v>13</v>
      </c>
      <c r="H4" s="5" t="s">
        <v>48</v>
      </c>
      <c r="I4" s="5" t="s">
        <v>49</v>
      </c>
      <c r="J4" s="6">
        <v>44483</v>
      </c>
      <c r="K4" s="6"/>
      <c r="L4" s="5" t="str">
        <f t="shared" si="0"/>
        <v/>
      </c>
      <c r="M4" s="5" t="s">
        <v>50</v>
      </c>
      <c r="N4" s="5" t="s">
        <v>51</v>
      </c>
      <c r="O4" s="5" t="s">
        <v>52</v>
      </c>
      <c r="P4" s="5" t="s">
        <v>53</v>
      </c>
      <c r="Q4" s="5" t="s">
        <v>69</v>
      </c>
      <c r="R4" s="5" t="s">
        <v>54</v>
      </c>
      <c r="S4" s="5"/>
    </row>
    <row r="5" spans="1:19">
      <c r="A5" s="5" t="s">
        <v>70</v>
      </c>
      <c r="B5" s="5" t="s">
        <v>71</v>
      </c>
      <c r="C5" s="5" t="s">
        <v>72</v>
      </c>
      <c r="D5" s="5" t="s">
        <v>73</v>
      </c>
      <c r="E5" s="5" t="s">
        <v>59</v>
      </c>
      <c r="F5" s="5" t="s">
        <v>60</v>
      </c>
      <c r="G5" s="5" t="s">
        <v>16</v>
      </c>
      <c r="H5" s="5" t="s">
        <v>48</v>
      </c>
      <c r="I5" s="5" t="s">
        <v>49</v>
      </c>
      <c r="J5" s="6">
        <v>45689</v>
      </c>
      <c r="K5" s="6"/>
      <c r="L5" s="5" t="str">
        <f t="shared" si="0"/>
        <v/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63</v>
      </c>
      <c r="R5" s="5" t="s">
        <v>64</v>
      </c>
      <c r="S5" s="5" t="s">
        <v>65</v>
      </c>
    </row>
    <row r="6" spans="1:19">
      <c r="A6" s="5" t="s">
        <v>74</v>
      </c>
      <c r="B6" s="5" t="s">
        <v>75</v>
      </c>
      <c r="C6" s="5" t="s">
        <v>76</v>
      </c>
      <c r="D6" s="5" t="s">
        <v>73</v>
      </c>
      <c r="E6" s="5" t="s">
        <v>59</v>
      </c>
      <c r="F6" s="5" t="s">
        <v>60</v>
      </c>
      <c r="G6" s="5" t="s">
        <v>16</v>
      </c>
      <c r="H6" s="5" t="s">
        <v>48</v>
      </c>
      <c r="I6" s="5" t="s">
        <v>49</v>
      </c>
      <c r="J6" s="6">
        <v>45128</v>
      </c>
      <c r="K6" s="6"/>
      <c r="L6" s="5" t="str">
        <f t="shared" si="0"/>
        <v/>
      </c>
      <c r="M6" s="5" t="s">
        <v>50</v>
      </c>
      <c r="N6" s="5" t="s">
        <v>51</v>
      </c>
      <c r="O6" s="5" t="s">
        <v>52</v>
      </c>
      <c r="P6" s="5" t="s">
        <v>53</v>
      </c>
      <c r="Q6" s="5" t="s">
        <v>63</v>
      </c>
      <c r="R6" s="5" t="s">
        <v>64</v>
      </c>
      <c r="S6" s="5" t="s">
        <v>65</v>
      </c>
    </row>
    <row r="7" spans="1:19">
      <c r="A7" s="5" t="s">
        <v>77</v>
      </c>
      <c r="B7" s="5" t="s">
        <v>78</v>
      </c>
      <c r="C7" s="5" t="s">
        <v>79</v>
      </c>
      <c r="D7" s="5" t="s">
        <v>45</v>
      </c>
      <c r="E7" s="5" t="s">
        <v>46</v>
      </c>
      <c r="F7" s="5" t="s">
        <v>47</v>
      </c>
      <c r="G7" s="5" t="s">
        <v>13</v>
      </c>
      <c r="H7" s="5" t="s">
        <v>48</v>
      </c>
      <c r="I7" s="5" t="s">
        <v>49</v>
      </c>
      <c r="J7" s="6">
        <v>45869</v>
      </c>
      <c r="K7" s="6"/>
      <c r="L7" s="5" t="str">
        <f t="shared" si="0"/>
        <v/>
      </c>
      <c r="M7" s="5" t="s">
        <v>50</v>
      </c>
      <c r="N7" s="5" t="s">
        <v>51</v>
      </c>
      <c r="O7" s="5" t="s">
        <v>52</v>
      </c>
      <c r="P7" s="5" t="s">
        <v>53</v>
      </c>
      <c r="Q7" s="5" t="s">
        <v>47</v>
      </c>
      <c r="R7" s="5"/>
      <c r="S7" s="5"/>
    </row>
    <row r="8" spans="1:19">
      <c r="A8" s="5" t="s">
        <v>80</v>
      </c>
      <c r="B8" s="5" t="s">
        <v>81</v>
      </c>
      <c r="C8" s="5" t="s">
        <v>82</v>
      </c>
      <c r="D8" s="5" t="s">
        <v>45</v>
      </c>
      <c r="E8" s="5" t="s">
        <v>46</v>
      </c>
      <c r="F8" s="5" t="s">
        <v>47</v>
      </c>
      <c r="G8" s="5" t="s">
        <v>13</v>
      </c>
      <c r="H8" s="5" t="s">
        <v>48</v>
      </c>
      <c r="I8" s="5" t="s">
        <v>49</v>
      </c>
      <c r="J8" s="6">
        <v>45422</v>
      </c>
      <c r="K8" s="6"/>
      <c r="L8" s="5" t="str">
        <f t="shared" si="0"/>
        <v/>
      </c>
      <c r="M8" s="5" t="s">
        <v>50</v>
      </c>
      <c r="N8" s="5" t="s">
        <v>51</v>
      </c>
      <c r="O8" s="5" t="s">
        <v>52</v>
      </c>
      <c r="P8" s="5" t="s">
        <v>53</v>
      </c>
      <c r="Q8" s="5" t="s">
        <v>47</v>
      </c>
      <c r="R8" s="5" t="s">
        <v>54</v>
      </c>
      <c r="S8" s="5"/>
    </row>
    <row r="9" spans="1:19">
      <c r="A9" s="5" t="s">
        <v>83</v>
      </c>
      <c r="B9" s="5" t="s">
        <v>84</v>
      </c>
      <c r="C9" s="5" t="s">
        <v>85</v>
      </c>
      <c r="D9" s="5" t="s">
        <v>45</v>
      </c>
      <c r="E9" s="5" t="s">
        <v>46</v>
      </c>
      <c r="F9" s="5" t="s">
        <v>47</v>
      </c>
      <c r="G9" s="5" t="s">
        <v>13</v>
      </c>
      <c r="H9" s="5" t="s">
        <v>48</v>
      </c>
      <c r="I9" s="5" t="s">
        <v>49</v>
      </c>
      <c r="J9" s="6">
        <v>42948</v>
      </c>
      <c r="K9" s="6"/>
      <c r="L9" s="5" t="str">
        <f t="shared" si="0"/>
        <v/>
      </c>
      <c r="M9" s="5" t="s">
        <v>50</v>
      </c>
      <c r="N9" s="5" t="s">
        <v>51</v>
      </c>
      <c r="O9" s="5" t="s">
        <v>52</v>
      </c>
      <c r="P9" s="5" t="s">
        <v>53</v>
      </c>
      <c r="Q9" s="5" t="s">
        <v>47</v>
      </c>
      <c r="R9" s="5" t="s">
        <v>54</v>
      </c>
      <c r="S9" s="5"/>
    </row>
    <row r="10" spans="1:19" ht="28.5">
      <c r="A10" s="5" t="s">
        <v>64</v>
      </c>
      <c r="B10" s="5" t="s">
        <v>86</v>
      </c>
      <c r="C10" s="5" t="s">
        <v>87</v>
      </c>
      <c r="D10" s="5" t="s">
        <v>88</v>
      </c>
      <c r="E10" s="5" t="s">
        <v>89</v>
      </c>
      <c r="F10" s="5" t="s">
        <v>90</v>
      </c>
      <c r="G10" s="5" t="s">
        <v>10</v>
      </c>
      <c r="H10" s="5" t="s">
        <v>48</v>
      </c>
      <c r="I10" s="5" t="s">
        <v>49</v>
      </c>
      <c r="J10" s="6">
        <v>34547</v>
      </c>
      <c r="K10" s="6"/>
      <c r="L10" s="5" t="str">
        <f t="shared" si="0"/>
        <v/>
      </c>
      <c r="M10" s="5" t="s">
        <v>91</v>
      </c>
      <c r="N10" s="5" t="s">
        <v>51</v>
      </c>
      <c r="O10" s="5" t="s">
        <v>52</v>
      </c>
      <c r="P10" s="5" t="s">
        <v>53</v>
      </c>
      <c r="Q10" s="5"/>
      <c r="R10" s="5"/>
      <c r="S10" s="5" t="s">
        <v>92</v>
      </c>
    </row>
    <row r="11" spans="1:19">
      <c r="A11" s="5" t="s">
        <v>54</v>
      </c>
      <c r="B11" s="5" t="s">
        <v>93</v>
      </c>
      <c r="C11" s="5" t="s">
        <v>94</v>
      </c>
      <c r="D11" s="5" t="s">
        <v>95</v>
      </c>
      <c r="E11" s="5" t="s">
        <v>89</v>
      </c>
      <c r="F11" s="5" t="s">
        <v>90</v>
      </c>
      <c r="G11" s="5" t="s">
        <v>10</v>
      </c>
      <c r="H11" s="5" t="s">
        <v>48</v>
      </c>
      <c r="I11" s="5" t="s">
        <v>49</v>
      </c>
      <c r="J11" s="6">
        <v>34547</v>
      </c>
      <c r="K11" s="6"/>
      <c r="L11" s="5" t="str">
        <f t="shared" si="0"/>
        <v/>
      </c>
      <c r="M11" s="5" t="s">
        <v>50</v>
      </c>
      <c r="N11" s="5" t="s">
        <v>51</v>
      </c>
      <c r="O11" s="5" t="s">
        <v>52</v>
      </c>
      <c r="P11" s="5" t="s">
        <v>53</v>
      </c>
      <c r="Q11" s="5" t="s">
        <v>63</v>
      </c>
      <c r="R11" s="5" t="s">
        <v>64</v>
      </c>
      <c r="S11" s="5"/>
    </row>
    <row r="12" spans="1:19">
      <c r="A12" s="5" t="s">
        <v>96</v>
      </c>
      <c r="B12" s="5" t="s">
        <v>97</v>
      </c>
      <c r="C12" s="5" t="s">
        <v>98</v>
      </c>
      <c r="D12" s="5" t="s">
        <v>45</v>
      </c>
      <c r="E12" s="5" t="s">
        <v>46</v>
      </c>
      <c r="F12" s="5" t="s">
        <v>47</v>
      </c>
      <c r="G12" s="5" t="s">
        <v>13</v>
      </c>
      <c r="H12" s="5" t="s">
        <v>48</v>
      </c>
      <c r="I12" s="5" t="s">
        <v>49</v>
      </c>
      <c r="J12" s="6">
        <v>36161</v>
      </c>
      <c r="K12" s="6"/>
      <c r="L12" s="5" t="str">
        <f t="shared" si="0"/>
        <v/>
      </c>
      <c r="M12" s="5" t="s">
        <v>50</v>
      </c>
      <c r="N12" s="5" t="s">
        <v>51</v>
      </c>
      <c r="O12" s="5" t="s">
        <v>52</v>
      </c>
      <c r="P12" s="5" t="s">
        <v>53</v>
      </c>
      <c r="Q12" s="5" t="s">
        <v>47</v>
      </c>
      <c r="R12" s="5" t="s">
        <v>54</v>
      </c>
      <c r="S12" s="5"/>
    </row>
    <row r="13" spans="1:19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46</v>
      </c>
      <c r="F13" s="5" t="s">
        <v>47</v>
      </c>
      <c r="G13" s="5" t="s">
        <v>13</v>
      </c>
      <c r="H13" s="5" t="s">
        <v>48</v>
      </c>
      <c r="I13" s="5" t="s">
        <v>49</v>
      </c>
      <c r="J13" s="6">
        <v>37500</v>
      </c>
      <c r="K13" s="6"/>
      <c r="L13" s="5" t="str">
        <f t="shared" si="0"/>
        <v/>
      </c>
      <c r="M13" s="5" t="s">
        <v>50</v>
      </c>
      <c r="N13" s="5" t="s">
        <v>51</v>
      </c>
      <c r="O13" s="5" t="s">
        <v>52</v>
      </c>
      <c r="P13" s="5" t="s">
        <v>53</v>
      </c>
      <c r="Q13" s="5" t="s">
        <v>47</v>
      </c>
      <c r="R13" s="5" t="s">
        <v>54</v>
      </c>
      <c r="S13" s="5"/>
    </row>
    <row r="14" spans="1:19">
      <c r="A14" s="5" t="s">
        <v>103</v>
      </c>
      <c r="B14" s="5" t="s">
        <v>104</v>
      </c>
      <c r="C14" s="5" t="s">
        <v>105</v>
      </c>
      <c r="D14" s="5" t="s">
        <v>45</v>
      </c>
      <c r="E14" s="5" t="s">
        <v>46</v>
      </c>
      <c r="F14" s="5" t="s">
        <v>47</v>
      </c>
      <c r="G14" s="5" t="s">
        <v>13</v>
      </c>
      <c r="H14" s="5" t="s">
        <v>48</v>
      </c>
      <c r="I14" s="5" t="s">
        <v>49</v>
      </c>
      <c r="J14" s="6">
        <v>43320</v>
      </c>
      <c r="K14" s="6"/>
      <c r="L14" s="5" t="str">
        <f t="shared" si="0"/>
        <v/>
      </c>
      <c r="M14" s="5" t="s">
        <v>50</v>
      </c>
      <c r="N14" s="5" t="s">
        <v>51</v>
      </c>
      <c r="O14" s="5" t="s">
        <v>52</v>
      </c>
      <c r="P14" s="5" t="s">
        <v>53</v>
      </c>
      <c r="Q14" s="5" t="s">
        <v>47</v>
      </c>
      <c r="R14" s="5" t="s">
        <v>54</v>
      </c>
      <c r="S14" s="5"/>
    </row>
    <row r="15" spans="1:19">
      <c r="A15" s="5" t="s">
        <v>106</v>
      </c>
      <c r="B15" s="5" t="s">
        <v>107</v>
      </c>
      <c r="C15" s="5" t="s">
        <v>108</v>
      </c>
      <c r="D15" s="5" t="s">
        <v>45</v>
      </c>
      <c r="E15" s="5" t="s">
        <v>46</v>
      </c>
      <c r="F15" s="5" t="s">
        <v>47</v>
      </c>
      <c r="G15" s="5" t="s">
        <v>13</v>
      </c>
      <c r="H15" s="5" t="s">
        <v>48</v>
      </c>
      <c r="I15" s="5" t="s">
        <v>49</v>
      </c>
      <c r="J15" s="6">
        <v>45474</v>
      </c>
      <c r="K15" s="6"/>
      <c r="L15" s="5" t="str">
        <f t="shared" si="0"/>
        <v/>
      </c>
      <c r="M15" s="5" t="s">
        <v>50</v>
      </c>
      <c r="N15" s="5" t="s">
        <v>51</v>
      </c>
      <c r="O15" s="5" t="s">
        <v>52</v>
      </c>
      <c r="P15" s="5" t="s">
        <v>53</v>
      </c>
      <c r="Q15" s="5" t="s">
        <v>47</v>
      </c>
      <c r="R15" s="5" t="s">
        <v>54</v>
      </c>
      <c r="S15" s="5"/>
    </row>
    <row r="16" spans="1:19">
      <c r="A16" s="5" t="s">
        <v>109</v>
      </c>
      <c r="B16" s="5" t="s">
        <v>110</v>
      </c>
      <c r="C16" s="5" t="s">
        <v>111</v>
      </c>
      <c r="D16" s="5" t="s">
        <v>112</v>
      </c>
      <c r="E16" s="5" t="s">
        <v>89</v>
      </c>
      <c r="F16" s="5" t="s">
        <v>90</v>
      </c>
      <c r="G16" s="5" t="s">
        <v>10</v>
      </c>
      <c r="H16" s="5" t="s">
        <v>48</v>
      </c>
      <c r="I16" s="5" t="s">
        <v>49</v>
      </c>
      <c r="J16" s="6">
        <v>44044</v>
      </c>
      <c r="K16" s="6">
        <v>35342</v>
      </c>
      <c r="L16" s="5" t="str">
        <f t="shared" si="0"/>
        <v>10月4日</v>
      </c>
      <c r="M16" s="5" t="s">
        <v>50</v>
      </c>
      <c r="N16" s="5" t="s">
        <v>51</v>
      </c>
      <c r="O16" s="5" t="s">
        <v>52</v>
      </c>
      <c r="P16" s="5" t="s">
        <v>53</v>
      </c>
      <c r="Q16" s="5" t="s">
        <v>63</v>
      </c>
      <c r="R16" s="5" t="s">
        <v>64</v>
      </c>
      <c r="S16" s="5"/>
    </row>
    <row r="17" spans="1:19">
      <c r="A17" s="5" t="s">
        <v>113</v>
      </c>
      <c r="B17" s="5" t="s">
        <v>114</v>
      </c>
      <c r="C17" s="5" t="s">
        <v>115</v>
      </c>
      <c r="D17" s="5" t="s">
        <v>45</v>
      </c>
      <c r="E17" s="5" t="s">
        <v>46</v>
      </c>
      <c r="F17" s="5" t="s">
        <v>47</v>
      </c>
      <c r="G17" s="5" t="s">
        <v>13</v>
      </c>
      <c r="H17" s="5" t="s">
        <v>48</v>
      </c>
      <c r="I17" s="5" t="s">
        <v>49</v>
      </c>
      <c r="J17" s="6">
        <v>43246</v>
      </c>
      <c r="K17" s="6"/>
      <c r="L17" s="5" t="str">
        <f t="shared" si="0"/>
        <v/>
      </c>
      <c r="M17" s="5" t="s">
        <v>50</v>
      </c>
      <c r="N17" s="5" t="s">
        <v>51</v>
      </c>
      <c r="O17" s="5" t="s">
        <v>52</v>
      </c>
      <c r="P17" s="5" t="s">
        <v>53</v>
      </c>
      <c r="Q17" s="5" t="s">
        <v>47</v>
      </c>
      <c r="R17" s="5" t="s">
        <v>54</v>
      </c>
      <c r="S17" s="5"/>
    </row>
    <row r="18" spans="1:19">
      <c r="A18" s="5" t="s">
        <v>116</v>
      </c>
      <c r="B18" s="5" t="s">
        <v>117</v>
      </c>
      <c r="C18" s="5" t="s">
        <v>118</v>
      </c>
      <c r="D18" s="5" t="s">
        <v>45</v>
      </c>
      <c r="E18" s="5" t="s">
        <v>46</v>
      </c>
      <c r="F18" s="5" t="s">
        <v>47</v>
      </c>
      <c r="G18" s="5" t="s">
        <v>13</v>
      </c>
      <c r="H18" s="5" t="s">
        <v>48</v>
      </c>
      <c r="I18" s="5" t="s">
        <v>49</v>
      </c>
      <c r="J18" s="6">
        <v>43299</v>
      </c>
      <c r="K18" s="6"/>
      <c r="L18" s="5" t="str">
        <f t="shared" si="0"/>
        <v/>
      </c>
      <c r="M18" s="5" t="s">
        <v>50</v>
      </c>
      <c r="N18" s="5" t="s">
        <v>51</v>
      </c>
      <c r="O18" s="5" t="s">
        <v>52</v>
      </c>
      <c r="P18" s="5" t="s">
        <v>53</v>
      </c>
      <c r="Q18" s="5" t="s">
        <v>47</v>
      </c>
      <c r="R18" s="5" t="s">
        <v>54</v>
      </c>
      <c r="S18" s="5"/>
    </row>
    <row r="19" spans="1:19">
      <c r="A19" s="5" t="s">
        <v>119</v>
      </c>
      <c r="B19" s="5" t="s">
        <v>120</v>
      </c>
      <c r="C19" s="5" t="s">
        <v>121</v>
      </c>
      <c r="D19" s="5" t="s">
        <v>45</v>
      </c>
      <c r="E19" s="5" t="s">
        <v>46</v>
      </c>
      <c r="F19" s="5" t="s">
        <v>69</v>
      </c>
      <c r="G19" s="5" t="s">
        <v>13</v>
      </c>
      <c r="H19" s="5" t="s">
        <v>48</v>
      </c>
      <c r="I19" s="5" t="s">
        <v>49</v>
      </c>
      <c r="J19" s="6">
        <v>39295</v>
      </c>
      <c r="K19" s="6"/>
      <c r="L19" s="5" t="str">
        <f t="shared" si="0"/>
        <v/>
      </c>
      <c r="M19" s="5" t="s">
        <v>50</v>
      </c>
      <c r="N19" s="5" t="s">
        <v>51</v>
      </c>
      <c r="O19" s="5" t="s">
        <v>52</v>
      </c>
      <c r="P19" s="5" t="s">
        <v>53</v>
      </c>
      <c r="Q19" s="5" t="s">
        <v>69</v>
      </c>
      <c r="R19" s="5" t="s">
        <v>54</v>
      </c>
      <c r="S19" s="5"/>
    </row>
    <row r="20" spans="1:19">
      <c r="A20" s="5" t="s">
        <v>122</v>
      </c>
      <c r="B20" s="5" t="s">
        <v>123</v>
      </c>
      <c r="C20" s="5" t="s">
        <v>124</v>
      </c>
      <c r="D20" s="5" t="s">
        <v>45</v>
      </c>
      <c r="E20" s="5" t="s">
        <v>46</v>
      </c>
      <c r="F20" s="5" t="s">
        <v>69</v>
      </c>
      <c r="G20" s="5" t="s">
        <v>13</v>
      </c>
      <c r="H20" s="5" t="s">
        <v>48</v>
      </c>
      <c r="I20" s="5" t="s">
        <v>49</v>
      </c>
      <c r="J20" s="6">
        <v>43678</v>
      </c>
      <c r="K20" s="6"/>
      <c r="L20" s="5" t="str">
        <f t="shared" si="0"/>
        <v/>
      </c>
      <c r="M20" s="5" t="s">
        <v>50</v>
      </c>
      <c r="N20" s="5" t="s">
        <v>51</v>
      </c>
      <c r="O20" s="5" t="s">
        <v>52</v>
      </c>
      <c r="P20" s="5" t="s">
        <v>53</v>
      </c>
      <c r="Q20" s="5" t="s">
        <v>69</v>
      </c>
      <c r="R20" s="5" t="s">
        <v>54</v>
      </c>
      <c r="S20" s="5"/>
    </row>
    <row r="21" spans="1:19">
      <c r="A21" s="5" t="s">
        <v>125</v>
      </c>
      <c r="B21" s="5" t="s">
        <v>126</v>
      </c>
      <c r="C21" s="5" t="s">
        <v>127</v>
      </c>
      <c r="D21" s="5" t="s">
        <v>45</v>
      </c>
      <c r="E21" s="5" t="s">
        <v>46</v>
      </c>
      <c r="F21" s="5" t="s">
        <v>47</v>
      </c>
      <c r="G21" s="5" t="s">
        <v>13</v>
      </c>
      <c r="H21" s="5" t="s">
        <v>48</v>
      </c>
      <c r="I21" s="5" t="s">
        <v>49</v>
      </c>
      <c r="J21" s="6">
        <v>45454</v>
      </c>
      <c r="K21" s="6"/>
      <c r="L21" s="5" t="str">
        <f t="shared" si="0"/>
        <v/>
      </c>
      <c r="M21" s="5" t="s">
        <v>50</v>
      </c>
      <c r="N21" s="5" t="s">
        <v>51</v>
      </c>
      <c r="O21" s="5" t="s">
        <v>52</v>
      </c>
      <c r="P21" s="5" t="s">
        <v>53</v>
      </c>
      <c r="Q21" s="5" t="s">
        <v>47</v>
      </c>
      <c r="R21" s="5" t="s">
        <v>54</v>
      </c>
      <c r="S21" s="5"/>
    </row>
    <row r="22" spans="1:19">
      <c r="A22" s="5" t="s">
        <v>128</v>
      </c>
      <c r="B22" s="5" t="s">
        <v>129</v>
      </c>
      <c r="C22" s="5" t="s">
        <v>130</v>
      </c>
      <c r="D22" s="5" t="s">
        <v>45</v>
      </c>
      <c r="E22" s="5" t="s">
        <v>46</v>
      </c>
      <c r="F22" s="5" t="s">
        <v>47</v>
      </c>
      <c r="G22" s="5" t="s">
        <v>13</v>
      </c>
      <c r="H22" s="5" t="s">
        <v>48</v>
      </c>
      <c r="I22" s="5" t="s">
        <v>49</v>
      </c>
      <c r="J22" s="6">
        <v>45859</v>
      </c>
      <c r="K22" s="6"/>
      <c r="L22" s="5" t="str">
        <f t="shared" si="0"/>
        <v/>
      </c>
      <c r="M22" s="5" t="s">
        <v>50</v>
      </c>
      <c r="N22" s="5" t="s">
        <v>51</v>
      </c>
      <c r="O22" s="5" t="s">
        <v>52</v>
      </c>
      <c r="P22" s="5" t="s">
        <v>53</v>
      </c>
      <c r="Q22" s="5" t="s">
        <v>47</v>
      </c>
      <c r="R22" s="5" t="s">
        <v>54</v>
      </c>
      <c r="S22" s="5"/>
    </row>
    <row r="23" spans="1:19">
      <c r="A23" s="5" t="s">
        <v>131</v>
      </c>
      <c r="B23" s="5" t="s">
        <v>132</v>
      </c>
      <c r="C23" s="5" t="s">
        <v>133</v>
      </c>
      <c r="D23" s="5" t="s">
        <v>45</v>
      </c>
      <c r="E23" s="5" t="s">
        <v>46</v>
      </c>
      <c r="F23" s="5" t="s">
        <v>47</v>
      </c>
      <c r="G23" s="5" t="s">
        <v>13</v>
      </c>
      <c r="H23" s="5" t="s">
        <v>48</v>
      </c>
      <c r="I23" s="5" t="s">
        <v>49</v>
      </c>
      <c r="J23" s="6">
        <v>44039</v>
      </c>
      <c r="K23" s="6"/>
      <c r="L23" s="5" t="str">
        <f t="shared" si="0"/>
        <v/>
      </c>
      <c r="M23" s="5" t="s">
        <v>50</v>
      </c>
      <c r="N23" s="5" t="s">
        <v>51</v>
      </c>
      <c r="O23" s="5" t="s">
        <v>52</v>
      </c>
      <c r="P23" s="5" t="s">
        <v>53</v>
      </c>
      <c r="Q23" s="5" t="s">
        <v>47</v>
      </c>
      <c r="R23" s="5" t="s">
        <v>54</v>
      </c>
      <c r="S23" s="5"/>
    </row>
    <row r="24" spans="1:19">
      <c r="A24" s="5" t="s">
        <v>134</v>
      </c>
      <c r="B24" s="5" t="s">
        <v>135</v>
      </c>
      <c r="C24" s="5" t="s">
        <v>136</v>
      </c>
      <c r="D24" s="5" t="s">
        <v>45</v>
      </c>
      <c r="E24" s="5" t="s">
        <v>46</v>
      </c>
      <c r="F24" s="5" t="s">
        <v>47</v>
      </c>
      <c r="G24" s="5" t="s">
        <v>13</v>
      </c>
      <c r="H24" s="5" t="s">
        <v>48</v>
      </c>
      <c r="I24" s="5" t="s">
        <v>49</v>
      </c>
      <c r="J24" s="6">
        <v>45866</v>
      </c>
      <c r="K24" s="6"/>
      <c r="L24" s="5" t="str">
        <f t="shared" si="0"/>
        <v/>
      </c>
      <c r="M24" s="5" t="s">
        <v>50</v>
      </c>
      <c r="N24" s="5" t="s">
        <v>51</v>
      </c>
      <c r="O24" s="5" t="s">
        <v>52</v>
      </c>
      <c r="P24" s="5" t="s">
        <v>53</v>
      </c>
      <c r="Q24" s="5" t="s">
        <v>47</v>
      </c>
      <c r="R24" s="5" t="s">
        <v>54</v>
      </c>
      <c r="S24" s="5"/>
    </row>
    <row r="25" spans="1:19">
      <c r="A25" s="5" t="s">
        <v>137</v>
      </c>
      <c r="B25" s="5" t="s">
        <v>138</v>
      </c>
      <c r="C25" s="5" t="s">
        <v>139</v>
      </c>
      <c r="D25" s="5" t="s">
        <v>45</v>
      </c>
      <c r="E25" s="5" t="s">
        <v>46</v>
      </c>
      <c r="F25" s="5" t="s">
        <v>47</v>
      </c>
      <c r="G25" s="5" t="s">
        <v>13</v>
      </c>
      <c r="H25" s="5" t="s">
        <v>48</v>
      </c>
      <c r="I25" s="5" t="s">
        <v>49</v>
      </c>
      <c r="J25" s="6">
        <v>44943</v>
      </c>
      <c r="K25" s="6"/>
      <c r="L25" s="5" t="str">
        <f t="shared" si="0"/>
        <v/>
      </c>
      <c r="M25" s="5" t="s">
        <v>50</v>
      </c>
      <c r="N25" s="5" t="s">
        <v>51</v>
      </c>
      <c r="O25" s="5" t="s">
        <v>52</v>
      </c>
      <c r="P25" s="5" t="s">
        <v>53</v>
      </c>
      <c r="Q25" s="5" t="s">
        <v>47</v>
      </c>
      <c r="R25" s="5" t="s">
        <v>54</v>
      </c>
      <c r="S25" s="5"/>
    </row>
    <row r="26" spans="1:19">
      <c r="A26" s="5" t="s">
        <v>140</v>
      </c>
      <c r="B26" s="5" t="s">
        <v>141</v>
      </c>
      <c r="C26" s="5" t="s">
        <v>142</v>
      </c>
      <c r="D26" s="5" t="s">
        <v>45</v>
      </c>
      <c r="E26" s="5" t="s">
        <v>46</v>
      </c>
      <c r="F26" s="5" t="s">
        <v>47</v>
      </c>
      <c r="G26" s="5" t="s">
        <v>13</v>
      </c>
      <c r="H26" s="5" t="s">
        <v>48</v>
      </c>
      <c r="I26" s="5" t="s">
        <v>49</v>
      </c>
      <c r="J26" s="6">
        <v>45154</v>
      </c>
      <c r="K26" s="6"/>
      <c r="L26" s="5" t="str">
        <f t="shared" si="0"/>
        <v/>
      </c>
      <c r="M26" s="5" t="s">
        <v>50</v>
      </c>
      <c r="N26" s="5" t="s">
        <v>51</v>
      </c>
      <c r="O26" s="5" t="s">
        <v>52</v>
      </c>
      <c r="P26" s="5" t="s">
        <v>53</v>
      </c>
      <c r="Q26" s="5" t="s">
        <v>47</v>
      </c>
      <c r="R26" s="5" t="s">
        <v>54</v>
      </c>
      <c r="S26" s="5"/>
    </row>
    <row r="27" spans="1:19">
      <c r="A27" s="5" t="s">
        <v>143</v>
      </c>
      <c r="B27" s="5" t="s">
        <v>144</v>
      </c>
      <c r="C27" s="5" t="s">
        <v>145</v>
      </c>
      <c r="D27" s="5" t="s">
        <v>45</v>
      </c>
      <c r="E27" s="5" t="s">
        <v>46</v>
      </c>
      <c r="F27" s="5" t="s">
        <v>69</v>
      </c>
      <c r="G27" s="5" t="s">
        <v>13</v>
      </c>
      <c r="H27" s="5" t="s">
        <v>48</v>
      </c>
      <c r="I27" s="5" t="s">
        <v>49</v>
      </c>
      <c r="J27" s="6">
        <v>37834</v>
      </c>
      <c r="K27" s="6"/>
      <c r="L27" s="5" t="str">
        <f t="shared" si="0"/>
        <v/>
      </c>
      <c r="M27" s="5" t="s">
        <v>50</v>
      </c>
      <c r="N27" s="5" t="s">
        <v>51</v>
      </c>
      <c r="O27" s="5" t="s">
        <v>52</v>
      </c>
      <c r="P27" s="5" t="s">
        <v>53</v>
      </c>
      <c r="Q27" s="5" t="s">
        <v>69</v>
      </c>
      <c r="R27" s="5" t="s">
        <v>54</v>
      </c>
      <c r="S27" s="5"/>
    </row>
    <row r="28" spans="1:19">
      <c r="A28" s="5" t="s">
        <v>146</v>
      </c>
      <c r="B28" s="5" t="s">
        <v>147</v>
      </c>
      <c r="C28" s="5" t="s">
        <v>148</v>
      </c>
      <c r="D28" s="5" t="s">
        <v>45</v>
      </c>
      <c r="E28" s="5" t="s">
        <v>46</v>
      </c>
      <c r="F28" s="5" t="s">
        <v>47</v>
      </c>
      <c r="G28" s="5" t="s">
        <v>13</v>
      </c>
      <c r="H28" s="5" t="s">
        <v>48</v>
      </c>
      <c r="I28" s="5" t="s">
        <v>49</v>
      </c>
      <c r="J28" s="6">
        <v>44039</v>
      </c>
      <c r="K28" s="6"/>
      <c r="L28" s="5" t="str">
        <f t="shared" si="0"/>
        <v/>
      </c>
      <c r="M28" s="5" t="s">
        <v>50</v>
      </c>
      <c r="N28" s="5" t="s">
        <v>51</v>
      </c>
      <c r="O28" s="5" t="s">
        <v>52</v>
      </c>
      <c r="P28" s="5" t="s">
        <v>53</v>
      </c>
      <c r="Q28" s="5" t="s">
        <v>47</v>
      </c>
      <c r="R28" s="5" t="s">
        <v>54</v>
      </c>
      <c r="S28" s="5"/>
    </row>
    <row r="29" spans="1:19">
      <c r="A29" s="5" t="s">
        <v>149</v>
      </c>
      <c r="B29" s="5" t="s">
        <v>150</v>
      </c>
      <c r="C29" s="5" t="s">
        <v>151</v>
      </c>
      <c r="D29" s="5" t="s">
        <v>45</v>
      </c>
      <c r="E29" s="5" t="s">
        <v>46</v>
      </c>
      <c r="F29" s="5" t="s">
        <v>47</v>
      </c>
      <c r="G29" s="5" t="s">
        <v>13</v>
      </c>
      <c r="H29" s="5" t="s">
        <v>48</v>
      </c>
      <c r="I29" s="5" t="s">
        <v>49</v>
      </c>
      <c r="J29" s="6">
        <v>44935</v>
      </c>
      <c r="K29" s="6"/>
      <c r="L29" s="5" t="str">
        <f t="shared" si="0"/>
        <v/>
      </c>
      <c r="M29" s="5" t="s">
        <v>50</v>
      </c>
      <c r="N29" s="5" t="s">
        <v>51</v>
      </c>
      <c r="O29" s="5" t="s">
        <v>52</v>
      </c>
      <c r="P29" s="5" t="s">
        <v>53</v>
      </c>
      <c r="Q29" s="5" t="s">
        <v>47</v>
      </c>
      <c r="R29" s="5" t="s">
        <v>54</v>
      </c>
      <c r="S29" s="5"/>
    </row>
    <row r="30" spans="1:19">
      <c r="A30" s="5" t="s">
        <v>152</v>
      </c>
      <c r="B30" s="5" t="s">
        <v>153</v>
      </c>
      <c r="C30" s="5" t="s">
        <v>154</v>
      </c>
      <c r="D30" s="5" t="s">
        <v>45</v>
      </c>
      <c r="E30" s="5" t="s">
        <v>46</v>
      </c>
      <c r="F30" s="5" t="s">
        <v>47</v>
      </c>
      <c r="G30" s="5" t="s">
        <v>13</v>
      </c>
      <c r="H30" s="5" t="s">
        <v>48</v>
      </c>
      <c r="I30" s="5" t="s">
        <v>49</v>
      </c>
      <c r="J30" s="6">
        <v>45200</v>
      </c>
      <c r="K30" s="6"/>
      <c r="L30" s="5" t="str">
        <f t="shared" si="0"/>
        <v/>
      </c>
      <c r="M30" s="5" t="s">
        <v>50</v>
      </c>
      <c r="N30" s="5" t="s">
        <v>51</v>
      </c>
      <c r="O30" s="5" t="s">
        <v>52</v>
      </c>
      <c r="P30" s="5" t="s">
        <v>53</v>
      </c>
      <c r="Q30" s="5" t="s">
        <v>47</v>
      </c>
      <c r="R30" s="5" t="s">
        <v>54</v>
      </c>
      <c r="S30" s="5"/>
    </row>
    <row r="31" spans="1:19">
      <c r="A31" s="5" t="s">
        <v>155</v>
      </c>
      <c r="B31" s="5" t="s">
        <v>156</v>
      </c>
      <c r="C31" s="5" t="s">
        <v>157</v>
      </c>
      <c r="D31" s="5" t="s">
        <v>158</v>
      </c>
      <c r="E31" s="5" t="s">
        <v>46</v>
      </c>
      <c r="F31" s="5" t="s">
        <v>69</v>
      </c>
      <c r="G31" s="5" t="s">
        <v>13</v>
      </c>
      <c r="H31" s="5" t="s">
        <v>48</v>
      </c>
      <c r="I31" s="5" t="s">
        <v>49</v>
      </c>
      <c r="J31" s="6">
        <v>36251</v>
      </c>
      <c r="K31" s="6"/>
      <c r="L31" s="5" t="str">
        <f t="shared" si="0"/>
        <v/>
      </c>
      <c r="M31" s="5" t="s">
        <v>50</v>
      </c>
      <c r="N31" s="5" t="s">
        <v>51</v>
      </c>
      <c r="O31" s="5" t="s">
        <v>52</v>
      </c>
      <c r="P31" s="5" t="s">
        <v>53</v>
      </c>
      <c r="Q31" s="5" t="s">
        <v>69</v>
      </c>
      <c r="R31" s="5" t="s">
        <v>54</v>
      </c>
      <c r="S31" s="5"/>
    </row>
  </sheetData>
  <phoneticPr fontId="5" type="noConversion"/>
  <conditionalFormatting sqref="G2:G31">
    <cfRule type="expression" dxfId="4" priority="1">
      <formula>G2="管理首頁"</formula>
    </cfRule>
    <cfRule type="expression" dxfId="3" priority="2">
      <formula>G2="教保首頁"</formula>
    </cfRule>
    <cfRule type="expression" dxfId="2" priority="3">
      <formula>G2="庶務首頁"</formula>
    </cfRule>
  </conditionalFormatting>
  <conditionalFormatting sqref="K2:K31">
    <cfRule type="expression" dxfId="1" priority="4">
      <formula>K2=""</formula>
    </cfRule>
  </conditionalFormatting>
  <dataValidations count="5">
    <dataValidation type="list" sqref="E2:E200" xr:uid="{00000000-0002-0000-0100-000000000000}">
      <formula1>"管理層,教保人員,庶務人員"</formula1>
    </dataValidation>
    <dataValidation type="list" sqref="F2:F200" xr:uid="{00000000-0002-0000-0100-000001000000}">
      <formula1>"行政組,幼兒部,安親部,庶務組"</formula1>
    </dataValidation>
    <dataValidation type="list" sqref="G2:G200" xr:uid="{00000000-0002-0000-0100-000002000000}">
      <formula1>"管理首頁,教保首頁,庶務首頁"</formula1>
    </dataValidation>
    <dataValidation type="list" sqref="P2:P200" xr:uid="{00000000-0002-0000-0100-000003000000}">
      <formula1>"是,否"</formula1>
    </dataValidation>
    <dataValidation type="list" sqref="I2:I200" xr:uid="{00000000-0002-0000-0100-000004000000}">
      <formula1>"在職,離職,留職停薪"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25"/>
  <cols>
    <col min="1" max="6" width="12" customWidth="1"/>
    <col min="7" max="7" width="30" customWidth="1"/>
  </cols>
  <sheetData>
    <row r="1" spans="1:7" ht="26.1" customHeight="1">
      <c r="A1" s="7" t="s">
        <v>24</v>
      </c>
      <c r="B1" s="7" t="s">
        <v>28</v>
      </c>
      <c r="C1" s="7" t="s">
        <v>26</v>
      </c>
      <c r="D1" s="7" t="s">
        <v>33</v>
      </c>
      <c r="E1" s="7" t="s">
        <v>34</v>
      </c>
      <c r="F1" s="7" t="s">
        <v>159</v>
      </c>
      <c r="G1" s="7" t="s">
        <v>41</v>
      </c>
    </row>
    <row r="2" spans="1:7">
      <c r="A2" s="5" t="str">
        <f>員工主檔!B2</f>
        <v>徐美惠</v>
      </c>
      <c r="B2" s="5" t="str">
        <f>員工主檔!F2</f>
        <v>幼兒部</v>
      </c>
      <c r="C2" s="5" t="str">
        <f>員工主檔!D2</f>
        <v>教保員</v>
      </c>
      <c r="D2" s="6" t="str">
        <f>IF(ISBLANK(員工主檔!K2),"",員工主檔!K2)</f>
        <v/>
      </c>
      <c r="E2" s="5" t="str">
        <f>員工主檔!L2</f>
        <v/>
      </c>
      <c r="F2" s="5" t="str">
        <f t="shared" ref="F2:F31" ca="1" si="0">IF(D2="","",IF(MONTH(D2)=MONTH(TODAY()),"本月",""))</f>
        <v/>
      </c>
      <c r="G2" s="5"/>
    </row>
    <row r="3" spans="1:7">
      <c r="A3" s="5" t="str">
        <f>員工主檔!B3</f>
        <v>羅易文</v>
      </c>
      <c r="B3" s="5" t="str">
        <f>員工主檔!F3</f>
        <v>庶務組</v>
      </c>
      <c r="C3" s="5" t="str">
        <f>員工主檔!D3</f>
        <v>戶外維護</v>
      </c>
      <c r="D3" s="6" t="str">
        <f>IF(ISBLANK(員工主檔!K3),"",員工主檔!K3)</f>
        <v/>
      </c>
      <c r="E3" s="5" t="str">
        <f>員工主檔!L3</f>
        <v/>
      </c>
      <c r="F3" s="5" t="str">
        <f t="shared" ca="1" si="0"/>
        <v/>
      </c>
      <c r="G3" s="5"/>
    </row>
    <row r="4" spans="1:7">
      <c r="A4" s="5" t="str">
        <f>員工主檔!B4</f>
        <v>王藝蓉</v>
      </c>
      <c r="B4" s="5" t="str">
        <f>員工主檔!F4</f>
        <v>安親部</v>
      </c>
      <c r="C4" s="5" t="str">
        <f>員工主檔!D4</f>
        <v>教保員</v>
      </c>
      <c r="D4" s="6" t="str">
        <f>IF(ISBLANK(員工主檔!K4),"",員工主檔!K4)</f>
        <v/>
      </c>
      <c r="E4" s="5" t="str">
        <f>員工主檔!L4</f>
        <v/>
      </c>
      <c r="F4" s="5" t="str">
        <f t="shared" ca="1" si="0"/>
        <v/>
      </c>
      <c r="G4" s="5"/>
    </row>
    <row r="5" spans="1:7">
      <c r="A5" s="5" t="str">
        <f>員工主檔!B5</f>
        <v>劉淑娟</v>
      </c>
      <c r="B5" s="5" t="str">
        <f>員工主檔!F5</f>
        <v>庶務組</v>
      </c>
      <c r="C5" s="5" t="str">
        <f>員工主檔!D5</f>
        <v>廚工</v>
      </c>
      <c r="D5" s="6" t="str">
        <f>IF(ISBLANK(員工主檔!K5),"",員工主檔!K5)</f>
        <v/>
      </c>
      <c r="E5" s="5" t="str">
        <f>員工主檔!L5</f>
        <v/>
      </c>
      <c r="F5" s="5" t="str">
        <f t="shared" ca="1" si="0"/>
        <v/>
      </c>
      <c r="G5" s="5"/>
    </row>
    <row r="6" spans="1:7">
      <c r="A6" s="5" t="str">
        <f>員工主檔!B6</f>
        <v>謝惠珍</v>
      </c>
      <c r="B6" s="5" t="str">
        <f>員工主檔!F6</f>
        <v>庶務組</v>
      </c>
      <c r="C6" s="5" t="str">
        <f>員工主檔!D6</f>
        <v>廚工</v>
      </c>
      <c r="D6" s="6" t="str">
        <f>IF(ISBLANK(員工主檔!K6),"",員工主檔!K6)</f>
        <v/>
      </c>
      <c r="E6" s="5" t="str">
        <f>員工主檔!L6</f>
        <v/>
      </c>
      <c r="F6" s="5" t="str">
        <f t="shared" ca="1" si="0"/>
        <v/>
      </c>
      <c r="G6" s="5"/>
    </row>
    <row r="7" spans="1:7">
      <c r="A7" s="5" t="str">
        <f>員工主檔!B7</f>
        <v>張羽涵</v>
      </c>
      <c r="B7" s="5" t="str">
        <f>員工主檔!F7</f>
        <v>幼兒部</v>
      </c>
      <c r="C7" s="5" t="str">
        <f>員工主檔!D7</f>
        <v>教保員</v>
      </c>
      <c r="D7" s="6" t="str">
        <f>IF(ISBLANK(員工主檔!K7),"",員工主檔!K7)</f>
        <v/>
      </c>
      <c r="E7" s="5" t="str">
        <f>員工主檔!L7</f>
        <v/>
      </c>
      <c r="F7" s="5" t="str">
        <f t="shared" ca="1" si="0"/>
        <v/>
      </c>
      <c r="G7" s="5"/>
    </row>
    <row r="8" spans="1:7">
      <c r="A8" s="5" t="str">
        <f>員工主檔!B8</f>
        <v>陳子盼</v>
      </c>
      <c r="B8" s="5" t="str">
        <f>員工主檔!F8</f>
        <v>幼兒部</v>
      </c>
      <c r="C8" s="5" t="str">
        <f>員工主檔!D8</f>
        <v>教保員</v>
      </c>
      <c r="D8" s="6" t="str">
        <f>IF(ISBLANK(員工主檔!K8),"",員工主檔!K8)</f>
        <v/>
      </c>
      <c r="E8" s="5" t="str">
        <f>員工主檔!L8</f>
        <v/>
      </c>
      <c r="F8" s="5" t="str">
        <f t="shared" ca="1" si="0"/>
        <v/>
      </c>
      <c r="G8" s="5"/>
    </row>
    <row r="9" spans="1:7">
      <c r="A9" s="5" t="str">
        <f>員工主檔!B9</f>
        <v>陳淑蓉</v>
      </c>
      <c r="B9" s="5" t="str">
        <f>員工主檔!F9</f>
        <v>幼兒部</v>
      </c>
      <c r="C9" s="5" t="str">
        <f>員工主檔!D9</f>
        <v>教保員</v>
      </c>
      <c r="D9" s="6" t="str">
        <f>IF(ISBLANK(員工主檔!K9),"",員工主檔!K9)</f>
        <v/>
      </c>
      <c r="E9" s="5" t="str">
        <f>員工主檔!L9</f>
        <v/>
      </c>
      <c r="F9" s="5" t="str">
        <f t="shared" ca="1" si="0"/>
        <v/>
      </c>
      <c r="G9" s="5"/>
    </row>
    <row r="10" spans="1:7">
      <c r="A10" s="5" t="str">
        <f>員工主檔!B10</f>
        <v>謝子元</v>
      </c>
      <c r="B10" s="5" t="str">
        <f>員工主檔!F10</f>
        <v>行政組</v>
      </c>
      <c r="C10" s="5" t="str">
        <f>員工主檔!D10</f>
        <v>負責人</v>
      </c>
      <c r="D10" s="6" t="str">
        <f>IF(ISBLANK(員工主檔!K10),"",員工主檔!K10)</f>
        <v/>
      </c>
      <c r="E10" s="5" t="str">
        <f>員工主檔!L10</f>
        <v/>
      </c>
      <c r="F10" s="5" t="str">
        <f t="shared" ca="1" si="0"/>
        <v/>
      </c>
      <c r="G10" s="5"/>
    </row>
    <row r="11" spans="1:7">
      <c r="A11" s="5" t="str">
        <f>員工主檔!B11</f>
        <v>吳玉瑩</v>
      </c>
      <c r="B11" s="5" t="str">
        <f>員工主檔!F11</f>
        <v>行政組</v>
      </c>
      <c r="C11" s="5" t="str">
        <f>員工主檔!D11</f>
        <v>園長</v>
      </c>
      <c r="D11" s="6" t="str">
        <f>IF(ISBLANK(員工主檔!K11),"",員工主檔!K11)</f>
        <v/>
      </c>
      <c r="E11" s="5" t="str">
        <f>員工主檔!L11</f>
        <v/>
      </c>
      <c r="F11" s="5" t="str">
        <f t="shared" ca="1" si="0"/>
        <v/>
      </c>
      <c r="G11" s="5"/>
    </row>
    <row r="12" spans="1:7">
      <c r="A12" s="5" t="str">
        <f>員工主檔!B12</f>
        <v>呂昭慧</v>
      </c>
      <c r="B12" s="5" t="str">
        <f>員工主檔!F12</f>
        <v>幼兒部</v>
      </c>
      <c r="C12" s="5" t="str">
        <f>員工主檔!D12</f>
        <v>教保員</v>
      </c>
      <c r="D12" s="6" t="str">
        <f>IF(ISBLANK(員工主檔!K12),"",員工主檔!K12)</f>
        <v/>
      </c>
      <c r="E12" s="5" t="str">
        <f>員工主檔!L12</f>
        <v/>
      </c>
      <c r="F12" s="5" t="str">
        <f t="shared" ca="1" si="0"/>
        <v/>
      </c>
      <c r="G12" s="5"/>
    </row>
    <row r="13" spans="1:7">
      <c r="A13" s="5" t="str">
        <f>員工主檔!B13</f>
        <v>呂綉萍</v>
      </c>
      <c r="B13" s="5" t="str">
        <f>員工主檔!F13</f>
        <v>幼兒部</v>
      </c>
      <c r="C13" s="5" t="str">
        <f>員工主檔!D13</f>
        <v>教學組長</v>
      </c>
      <c r="D13" s="6" t="str">
        <f>IF(ISBLANK(員工主檔!K13),"",員工主檔!K13)</f>
        <v/>
      </c>
      <c r="E13" s="5" t="str">
        <f>員工主檔!L13</f>
        <v/>
      </c>
      <c r="F13" s="5" t="str">
        <f t="shared" ca="1" si="0"/>
        <v/>
      </c>
      <c r="G13" s="5"/>
    </row>
    <row r="14" spans="1:7">
      <c r="A14" s="5" t="str">
        <f>員工主檔!B14</f>
        <v>林恬寧</v>
      </c>
      <c r="B14" s="5" t="str">
        <f>員工主檔!F14</f>
        <v>幼兒部</v>
      </c>
      <c r="C14" s="5" t="str">
        <f>員工主檔!D14</f>
        <v>教保員</v>
      </c>
      <c r="D14" s="6" t="str">
        <f>IF(ISBLANK(員工主檔!K14),"",員工主檔!K14)</f>
        <v/>
      </c>
      <c r="E14" s="5" t="str">
        <f>員工主檔!L14</f>
        <v/>
      </c>
      <c r="F14" s="5" t="str">
        <f t="shared" ca="1" si="0"/>
        <v/>
      </c>
      <c r="G14" s="5"/>
    </row>
    <row r="15" spans="1:7">
      <c r="A15" s="5" t="str">
        <f>員工主檔!B15</f>
        <v>許芸瑄</v>
      </c>
      <c r="B15" s="5" t="str">
        <f>員工主檔!F15</f>
        <v>幼兒部</v>
      </c>
      <c r="C15" s="5" t="str">
        <f>員工主檔!D15</f>
        <v>教保員</v>
      </c>
      <c r="D15" s="6" t="str">
        <f>IF(ISBLANK(員工主檔!K15),"",員工主檔!K15)</f>
        <v/>
      </c>
      <c r="E15" s="5" t="str">
        <f>員工主檔!L15</f>
        <v/>
      </c>
      <c r="F15" s="5" t="str">
        <f t="shared" ca="1" si="0"/>
        <v/>
      </c>
      <c r="G15" s="5"/>
    </row>
    <row r="16" spans="1:7">
      <c r="A16" s="5" t="str">
        <f>員工主檔!B16</f>
        <v>謝秉儒</v>
      </c>
      <c r="B16" s="5" t="str">
        <f>員工主檔!F16</f>
        <v>行政組</v>
      </c>
      <c r="C16" s="5" t="str">
        <f>員工主檔!D16</f>
        <v>主任</v>
      </c>
      <c r="D16" s="6">
        <f>IF(ISBLANK(員工主檔!K16),"",員工主檔!K16)</f>
        <v>35342</v>
      </c>
      <c r="E16" s="5" t="str">
        <f>員工主檔!L16</f>
        <v>10月4日</v>
      </c>
      <c r="F16" s="5" t="str">
        <f t="shared" ca="1" si="0"/>
        <v/>
      </c>
      <c r="G16" s="5"/>
    </row>
    <row r="17" spans="1:7">
      <c r="A17" s="5" t="str">
        <f>員工主檔!B17</f>
        <v>唐巧羚</v>
      </c>
      <c r="B17" s="5" t="str">
        <f>員工主檔!F17</f>
        <v>幼兒部</v>
      </c>
      <c r="C17" s="5" t="str">
        <f>員工主檔!D17</f>
        <v>教保員</v>
      </c>
      <c r="D17" s="6" t="str">
        <f>IF(ISBLANK(員工主檔!K17),"",員工主檔!K17)</f>
        <v/>
      </c>
      <c r="E17" s="5" t="str">
        <f>員工主檔!L17</f>
        <v/>
      </c>
      <c r="F17" s="5" t="str">
        <f t="shared" ca="1" si="0"/>
        <v/>
      </c>
      <c r="G17" s="5"/>
    </row>
    <row r="18" spans="1:7">
      <c r="A18" s="5" t="str">
        <f>員工主檔!B18</f>
        <v>張庭瑄</v>
      </c>
      <c r="B18" s="5" t="str">
        <f>員工主檔!F18</f>
        <v>幼兒部</v>
      </c>
      <c r="C18" s="5" t="str">
        <f>員工主檔!D18</f>
        <v>教保員</v>
      </c>
      <c r="D18" s="6" t="str">
        <f>IF(ISBLANK(員工主檔!K18),"",員工主檔!K18)</f>
        <v/>
      </c>
      <c r="E18" s="5" t="str">
        <f>員工主檔!L18</f>
        <v/>
      </c>
      <c r="F18" s="5" t="str">
        <f t="shared" ca="1" si="0"/>
        <v/>
      </c>
      <c r="G18" s="5"/>
    </row>
    <row r="19" spans="1:7">
      <c r="A19" s="5" t="str">
        <f>員工主檔!B19</f>
        <v>劉艾倫</v>
      </c>
      <c r="B19" s="5" t="str">
        <f>員工主檔!F19</f>
        <v>安親部</v>
      </c>
      <c r="C19" s="5" t="str">
        <f>員工主檔!D19</f>
        <v>教保員</v>
      </c>
      <c r="D19" s="6" t="str">
        <f>IF(ISBLANK(員工主檔!K19),"",員工主檔!K19)</f>
        <v/>
      </c>
      <c r="E19" s="5" t="str">
        <f>員工主檔!L19</f>
        <v/>
      </c>
      <c r="F19" s="5" t="str">
        <f t="shared" ca="1" si="0"/>
        <v/>
      </c>
      <c r="G19" s="5"/>
    </row>
    <row r="20" spans="1:7">
      <c r="A20" s="5" t="str">
        <f>員工主檔!B20</f>
        <v>許嘉芸</v>
      </c>
      <c r="B20" s="5" t="str">
        <f>員工主檔!F20</f>
        <v>安親部</v>
      </c>
      <c r="C20" s="5" t="str">
        <f>員工主檔!D20</f>
        <v>教保員</v>
      </c>
      <c r="D20" s="6" t="str">
        <f>IF(ISBLANK(員工主檔!K20),"",員工主檔!K20)</f>
        <v/>
      </c>
      <c r="E20" s="5" t="str">
        <f>員工主檔!L20</f>
        <v/>
      </c>
      <c r="F20" s="5" t="str">
        <f t="shared" ca="1" si="0"/>
        <v/>
      </c>
      <c r="G20" s="5"/>
    </row>
    <row r="21" spans="1:7">
      <c r="A21" s="5" t="str">
        <f>員工主檔!B21</f>
        <v>許亞霖</v>
      </c>
      <c r="B21" s="5" t="str">
        <f>員工主檔!F21</f>
        <v>幼兒部</v>
      </c>
      <c r="C21" s="5" t="str">
        <f>員工主檔!D21</f>
        <v>教保員</v>
      </c>
      <c r="D21" s="6" t="str">
        <f>IF(ISBLANK(員工主檔!K21),"",員工主檔!K21)</f>
        <v/>
      </c>
      <c r="E21" s="5" t="str">
        <f>員工主檔!L21</f>
        <v/>
      </c>
      <c r="F21" s="5" t="str">
        <f t="shared" ca="1" si="0"/>
        <v/>
      </c>
      <c r="G21" s="5"/>
    </row>
    <row r="22" spans="1:7">
      <c r="A22" s="5" t="str">
        <f>員工主檔!B22</f>
        <v>楊雅甄</v>
      </c>
      <c r="B22" s="5" t="str">
        <f>員工主檔!F22</f>
        <v>幼兒部</v>
      </c>
      <c r="C22" s="5" t="str">
        <f>員工主檔!D22</f>
        <v>教保員</v>
      </c>
      <c r="D22" s="6" t="str">
        <f>IF(ISBLANK(員工主檔!K22),"",員工主檔!K22)</f>
        <v/>
      </c>
      <c r="E22" s="5" t="str">
        <f>員工主檔!L22</f>
        <v/>
      </c>
      <c r="F22" s="5" t="str">
        <f t="shared" ca="1" si="0"/>
        <v/>
      </c>
      <c r="G22" s="5"/>
    </row>
    <row r="23" spans="1:7">
      <c r="A23" s="5" t="str">
        <f>員工主檔!B23</f>
        <v>倪學翠</v>
      </c>
      <c r="B23" s="5" t="str">
        <f>員工主檔!F23</f>
        <v>幼兒部</v>
      </c>
      <c r="C23" s="5" t="str">
        <f>員工主檔!D23</f>
        <v>教保員</v>
      </c>
      <c r="D23" s="6" t="str">
        <f>IF(ISBLANK(員工主檔!K23),"",員工主檔!K23)</f>
        <v/>
      </c>
      <c r="E23" s="5" t="str">
        <f>員工主檔!L23</f>
        <v/>
      </c>
      <c r="F23" s="5" t="str">
        <f t="shared" ca="1" si="0"/>
        <v/>
      </c>
      <c r="G23" s="5"/>
    </row>
    <row r="24" spans="1:7">
      <c r="A24" s="5" t="str">
        <f>員工主檔!B24</f>
        <v>劉羽晴</v>
      </c>
      <c r="B24" s="5" t="str">
        <f>員工主檔!F24</f>
        <v>幼兒部</v>
      </c>
      <c r="C24" s="5" t="str">
        <f>員工主檔!D24</f>
        <v>教保員</v>
      </c>
      <c r="D24" s="6" t="str">
        <f>IF(ISBLANK(員工主檔!K24),"",員工主檔!K24)</f>
        <v/>
      </c>
      <c r="E24" s="5" t="str">
        <f>員工主檔!L24</f>
        <v/>
      </c>
      <c r="F24" s="5" t="str">
        <f t="shared" ca="1" si="0"/>
        <v/>
      </c>
      <c r="G24" s="5"/>
    </row>
    <row r="25" spans="1:7">
      <c r="A25" s="5" t="str">
        <f>員工主檔!B25</f>
        <v>陳憶馨</v>
      </c>
      <c r="B25" s="5" t="str">
        <f>員工主檔!F25</f>
        <v>幼兒部</v>
      </c>
      <c r="C25" s="5" t="str">
        <f>員工主檔!D25</f>
        <v>教保員</v>
      </c>
      <c r="D25" s="6" t="str">
        <f>IF(ISBLANK(員工主檔!K25),"",員工主檔!K25)</f>
        <v/>
      </c>
      <c r="E25" s="5" t="str">
        <f>員工主檔!L25</f>
        <v/>
      </c>
      <c r="F25" s="5" t="str">
        <f t="shared" ca="1" si="0"/>
        <v/>
      </c>
      <c r="G25" s="5"/>
    </row>
    <row r="26" spans="1:7">
      <c r="A26" s="5" t="str">
        <f>員工主檔!B26</f>
        <v>葉秀敏</v>
      </c>
      <c r="B26" s="5" t="str">
        <f>員工主檔!F26</f>
        <v>幼兒部</v>
      </c>
      <c r="C26" s="5" t="str">
        <f>員工主檔!D26</f>
        <v>教保員</v>
      </c>
      <c r="D26" s="6" t="str">
        <f>IF(ISBLANK(員工主檔!K26),"",員工主檔!K26)</f>
        <v/>
      </c>
      <c r="E26" s="5" t="str">
        <f>員工主檔!L26</f>
        <v/>
      </c>
      <c r="F26" s="5" t="str">
        <f t="shared" ca="1" si="0"/>
        <v/>
      </c>
      <c r="G26" s="5"/>
    </row>
    <row r="27" spans="1:7">
      <c r="A27" s="5" t="str">
        <f>員工主檔!B27</f>
        <v>江謝惠菁</v>
      </c>
      <c r="B27" s="5" t="str">
        <f>員工主檔!F27</f>
        <v>安親部</v>
      </c>
      <c r="C27" s="5" t="str">
        <f>員工主檔!D27</f>
        <v>教保員</v>
      </c>
      <c r="D27" s="6" t="str">
        <f>IF(ISBLANK(員工主檔!K27),"",員工主檔!K27)</f>
        <v/>
      </c>
      <c r="E27" s="5" t="str">
        <f>員工主檔!L27</f>
        <v/>
      </c>
      <c r="F27" s="5" t="str">
        <f t="shared" ca="1" si="0"/>
        <v/>
      </c>
      <c r="G27" s="5"/>
    </row>
    <row r="28" spans="1:7">
      <c r="A28" s="5" t="str">
        <f>員工主檔!B28</f>
        <v>黃雯君</v>
      </c>
      <c r="B28" s="5" t="str">
        <f>員工主檔!F28</f>
        <v>幼兒部</v>
      </c>
      <c r="C28" s="5" t="str">
        <f>員工主檔!D28</f>
        <v>教保員</v>
      </c>
      <c r="D28" s="6" t="str">
        <f>IF(ISBLANK(員工主檔!K28),"",員工主檔!K28)</f>
        <v/>
      </c>
      <c r="E28" s="5" t="str">
        <f>員工主檔!L28</f>
        <v/>
      </c>
      <c r="F28" s="5" t="str">
        <f t="shared" ca="1" si="0"/>
        <v/>
      </c>
      <c r="G28" s="5"/>
    </row>
    <row r="29" spans="1:7">
      <c r="A29" s="5" t="str">
        <f>員工主檔!B29</f>
        <v>陳玟婷</v>
      </c>
      <c r="B29" s="5" t="str">
        <f>員工主檔!F29</f>
        <v>幼兒部</v>
      </c>
      <c r="C29" s="5" t="str">
        <f>員工主檔!D29</f>
        <v>教保員</v>
      </c>
      <c r="D29" s="6" t="str">
        <f>IF(ISBLANK(員工主檔!K29),"",員工主檔!K29)</f>
        <v/>
      </c>
      <c r="E29" s="5" t="str">
        <f>員工主檔!L29</f>
        <v/>
      </c>
      <c r="F29" s="5" t="str">
        <f t="shared" ca="1" si="0"/>
        <v/>
      </c>
      <c r="G29" s="5"/>
    </row>
    <row r="30" spans="1:7">
      <c r="A30" s="5" t="str">
        <f>員工主檔!B30</f>
        <v>鄭憶茹</v>
      </c>
      <c r="B30" s="5" t="str">
        <f>員工主檔!F30</f>
        <v>幼兒部</v>
      </c>
      <c r="C30" s="5" t="str">
        <f>員工主檔!D30</f>
        <v>教保員</v>
      </c>
      <c r="D30" s="6" t="str">
        <f>IF(ISBLANK(員工主檔!K30),"",員工主檔!K30)</f>
        <v/>
      </c>
      <c r="E30" s="5" t="str">
        <f>員工主檔!L30</f>
        <v/>
      </c>
      <c r="F30" s="5" t="str">
        <f t="shared" ca="1" si="0"/>
        <v/>
      </c>
      <c r="G30" s="5"/>
    </row>
    <row r="31" spans="1:7">
      <c r="A31" s="5" t="str">
        <f>員工主檔!B31</f>
        <v>吳玉華</v>
      </c>
      <c r="B31" s="5" t="str">
        <f>員工主檔!F31</f>
        <v>安親部</v>
      </c>
      <c r="C31" s="5" t="str">
        <f>員工主檔!D31</f>
        <v>安親主任</v>
      </c>
      <c r="D31" s="6" t="str">
        <f>IF(ISBLANK(員工主檔!K31),"",員工主檔!K31)</f>
        <v/>
      </c>
      <c r="E31" s="5" t="str">
        <f>員工主檔!L31</f>
        <v/>
      </c>
      <c r="F31" s="5" t="str">
        <f t="shared" ca="1" si="0"/>
        <v/>
      </c>
      <c r="G31" s="5"/>
    </row>
  </sheetData>
  <phoneticPr fontId="5" type="noConversion"/>
  <conditionalFormatting sqref="F2:F31">
    <cfRule type="expression" dxfId="0" priority="1">
      <formula>F2="本月"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25"/>
  <cols>
    <col min="1" max="1" width="12" customWidth="1"/>
    <col min="2" max="2" width="16" customWidth="1"/>
    <col min="3" max="3" width="40" customWidth="1"/>
    <col min="5" max="5" width="14" customWidth="1"/>
    <col min="6" max="6" width="22" customWidth="1"/>
    <col min="7" max="7" width="18" customWidth="1"/>
    <col min="8" max="8" width="30" customWidth="1"/>
  </cols>
  <sheetData>
    <row r="1" spans="1:8" ht="26.1" customHeight="1">
      <c r="A1" s="8" t="s">
        <v>160</v>
      </c>
      <c r="B1" s="8" t="s">
        <v>161</v>
      </c>
      <c r="C1" s="8" t="s">
        <v>162</v>
      </c>
      <c r="D1" s="5"/>
      <c r="E1" s="9" t="s">
        <v>163</v>
      </c>
      <c r="F1" s="9"/>
      <c r="G1" s="9"/>
      <c r="H1" s="9"/>
    </row>
    <row r="2" spans="1:8">
      <c r="A2" s="5" t="s">
        <v>27</v>
      </c>
      <c r="B2" s="5" t="s">
        <v>89</v>
      </c>
      <c r="C2" s="5" t="s">
        <v>164</v>
      </c>
      <c r="D2" s="5"/>
      <c r="E2" s="5" t="s">
        <v>165</v>
      </c>
      <c r="F2" s="5" t="s">
        <v>166</v>
      </c>
      <c r="G2" s="5" t="s">
        <v>167</v>
      </c>
      <c r="H2" s="5" t="s">
        <v>168</v>
      </c>
    </row>
    <row r="3" spans="1:8">
      <c r="A3" s="5" t="s">
        <v>27</v>
      </c>
      <c r="B3" s="5" t="s">
        <v>46</v>
      </c>
      <c r="C3" s="5" t="s">
        <v>169</v>
      </c>
      <c r="D3" s="5"/>
      <c r="E3" s="5" t="s">
        <v>170</v>
      </c>
      <c r="F3" s="5" t="s">
        <v>171</v>
      </c>
      <c r="G3" s="5" t="s">
        <v>172</v>
      </c>
      <c r="H3" s="5" t="s">
        <v>173</v>
      </c>
    </row>
    <row r="4" spans="1:8">
      <c r="A4" s="5" t="s">
        <v>27</v>
      </c>
      <c r="B4" s="5" t="s">
        <v>59</v>
      </c>
      <c r="C4" s="5" t="s">
        <v>174</v>
      </c>
      <c r="D4" s="5"/>
      <c r="E4" s="5" t="s">
        <v>175</v>
      </c>
      <c r="F4" s="5" t="s">
        <v>176</v>
      </c>
      <c r="G4" s="5" t="s">
        <v>177</v>
      </c>
      <c r="H4" s="5" t="s">
        <v>178</v>
      </c>
    </row>
    <row r="5" spans="1:8" ht="28.5">
      <c r="A5" s="5" t="s">
        <v>28</v>
      </c>
      <c r="B5" s="5" t="s">
        <v>90</v>
      </c>
      <c r="C5" s="5" t="s">
        <v>179</v>
      </c>
      <c r="D5" s="5"/>
      <c r="E5" s="5" t="s">
        <v>180</v>
      </c>
      <c r="F5" s="5" t="s">
        <v>181</v>
      </c>
      <c r="G5" s="5" t="s">
        <v>182</v>
      </c>
      <c r="H5" s="5"/>
    </row>
    <row r="6" spans="1:8">
      <c r="A6" s="5" t="s">
        <v>28</v>
      </c>
      <c r="B6" s="5" t="s">
        <v>47</v>
      </c>
      <c r="C6" s="5" t="s">
        <v>183</v>
      </c>
      <c r="D6" s="5"/>
      <c r="E6" s="5"/>
      <c r="F6" s="5"/>
      <c r="G6" s="5"/>
      <c r="H6" s="5"/>
    </row>
    <row r="7" spans="1:8">
      <c r="A7" s="5" t="s">
        <v>28</v>
      </c>
      <c r="B7" s="5" t="s">
        <v>69</v>
      </c>
      <c r="C7" s="5" t="s">
        <v>184</v>
      </c>
      <c r="D7" s="5"/>
      <c r="E7" s="5"/>
      <c r="F7" s="5"/>
      <c r="G7" s="5"/>
      <c r="H7" s="5"/>
    </row>
    <row r="8" spans="1:8">
      <c r="A8" s="5" t="s">
        <v>28</v>
      </c>
      <c r="B8" s="5" t="s">
        <v>60</v>
      </c>
      <c r="C8" s="5" t="s">
        <v>174</v>
      </c>
      <c r="D8" s="5"/>
      <c r="E8" s="5"/>
      <c r="F8" s="5"/>
      <c r="G8" s="5"/>
      <c r="H8" s="5"/>
    </row>
    <row r="9" spans="1:8">
      <c r="A9" s="5" t="s">
        <v>29</v>
      </c>
      <c r="B9" s="5" t="s">
        <v>10</v>
      </c>
      <c r="C9" s="5" t="s">
        <v>185</v>
      </c>
      <c r="D9" s="5"/>
      <c r="E9" s="5"/>
      <c r="F9" s="5"/>
      <c r="G9" s="5"/>
      <c r="H9" s="5"/>
    </row>
    <row r="10" spans="1:8">
      <c r="A10" s="5" t="s">
        <v>29</v>
      </c>
      <c r="B10" s="5" t="s">
        <v>13</v>
      </c>
      <c r="C10" s="5" t="s">
        <v>186</v>
      </c>
      <c r="D10" s="5"/>
      <c r="E10" s="5"/>
      <c r="F10" s="5"/>
      <c r="G10" s="5"/>
      <c r="H10" s="5"/>
    </row>
    <row r="11" spans="1:8">
      <c r="A11" s="5" t="s">
        <v>29</v>
      </c>
      <c r="B11" s="5" t="s">
        <v>16</v>
      </c>
      <c r="C11" s="5" t="s">
        <v>187</v>
      </c>
      <c r="D11" s="5"/>
      <c r="E11" s="5"/>
      <c r="F11" s="5"/>
      <c r="G11" s="5"/>
      <c r="H11" s="5"/>
    </row>
    <row r="12" spans="1:8">
      <c r="A12" s="5" t="s">
        <v>38</v>
      </c>
      <c r="B12" s="5" t="s">
        <v>53</v>
      </c>
      <c r="C12" s="5" t="s">
        <v>188</v>
      </c>
      <c r="D12" s="5"/>
      <c r="E12" s="5"/>
      <c r="F12" s="5"/>
      <c r="G12" s="5"/>
      <c r="H12" s="5"/>
    </row>
    <row r="13" spans="1:8">
      <c r="A13" s="5" t="s">
        <v>38</v>
      </c>
      <c r="B13" s="5" t="s">
        <v>189</v>
      </c>
      <c r="C13" s="5" t="s">
        <v>190</v>
      </c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32"/>
  <sheetViews>
    <sheetView workbookViewId="0">
      <pane ySplit="1" topLeftCell="A2" activePane="bottomLeft" state="frozen"/>
      <selection pane="bottomLeft" sqref="A1:XFD1"/>
    </sheetView>
  </sheetViews>
  <sheetFormatPr defaultRowHeight="14.25"/>
  <sheetData>
    <row r="1" spans="1:57" ht="26.1" customHeight="1">
      <c r="A1" s="10"/>
      <c r="B1" s="10"/>
      <c r="C1" s="10"/>
      <c r="D1" s="10" t="s">
        <v>191</v>
      </c>
      <c r="E1" s="10"/>
      <c r="F1" s="10" t="s">
        <v>192</v>
      </c>
      <c r="G1" s="10"/>
      <c r="H1" s="10"/>
      <c r="I1" s="10"/>
      <c r="J1" s="10"/>
      <c r="K1" s="10"/>
      <c r="L1" s="10"/>
      <c r="M1" s="10"/>
      <c r="N1" s="10"/>
      <c r="O1" s="10" t="s">
        <v>193</v>
      </c>
      <c r="P1" s="10"/>
      <c r="Q1" s="10"/>
      <c r="R1" s="10"/>
      <c r="S1" s="10"/>
      <c r="T1" s="10"/>
      <c r="U1" s="10"/>
      <c r="V1" s="10"/>
      <c r="W1" s="10" t="s">
        <v>194</v>
      </c>
      <c r="X1" s="10"/>
      <c r="Y1" s="10"/>
      <c r="Z1" s="10"/>
      <c r="AA1" s="10"/>
      <c r="AB1" s="10" t="s">
        <v>195</v>
      </c>
      <c r="AC1" s="10"/>
      <c r="AD1" s="10" t="s">
        <v>196</v>
      </c>
      <c r="AE1" s="10" t="s">
        <v>197</v>
      </c>
      <c r="AF1" s="10"/>
      <c r="AG1" s="10"/>
      <c r="AH1" s="10"/>
      <c r="AI1" s="10"/>
      <c r="AJ1" s="10"/>
      <c r="AK1" s="10"/>
      <c r="AL1" s="10"/>
      <c r="AM1" s="10" t="s">
        <v>31</v>
      </c>
      <c r="AN1" s="10"/>
      <c r="AO1" s="10"/>
      <c r="AP1" s="10"/>
      <c r="AQ1" s="10"/>
      <c r="AR1" s="10"/>
      <c r="AS1" s="10"/>
      <c r="AT1" s="10" t="s">
        <v>198</v>
      </c>
      <c r="AU1" s="10"/>
      <c r="AV1" s="10"/>
      <c r="AW1" s="10" t="s">
        <v>199</v>
      </c>
      <c r="AX1" s="10"/>
      <c r="AY1" s="10"/>
      <c r="AZ1" s="10"/>
      <c r="BA1" s="10"/>
      <c r="BB1" s="10"/>
      <c r="BC1" s="10"/>
      <c r="BD1" s="10"/>
      <c r="BE1" s="10" t="s">
        <v>200</v>
      </c>
    </row>
    <row r="2" spans="1:57" ht="30">
      <c r="A2" s="10" t="s">
        <v>23</v>
      </c>
      <c r="B2" s="10" t="s">
        <v>201</v>
      </c>
      <c r="C2" s="10" t="s">
        <v>202</v>
      </c>
      <c r="D2" s="10" t="s">
        <v>203</v>
      </c>
      <c r="E2" s="10" t="s">
        <v>204</v>
      </c>
      <c r="F2" s="10" t="s">
        <v>205</v>
      </c>
      <c r="G2" s="10" t="s">
        <v>206</v>
      </c>
      <c r="H2" s="10" t="s">
        <v>207</v>
      </c>
      <c r="I2" s="10" t="s">
        <v>208</v>
      </c>
      <c r="J2" s="10" t="s">
        <v>209</v>
      </c>
      <c r="K2" s="10" t="s">
        <v>210</v>
      </c>
      <c r="L2" s="10" t="s">
        <v>211</v>
      </c>
      <c r="M2" s="10" t="s">
        <v>212</v>
      </c>
      <c r="N2" s="10" t="s">
        <v>213</v>
      </c>
      <c r="O2" s="10" t="s">
        <v>214</v>
      </c>
      <c r="P2" s="10" t="s">
        <v>215</v>
      </c>
      <c r="Q2" s="10" t="s">
        <v>216</v>
      </c>
      <c r="R2" s="10" t="s">
        <v>217</v>
      </c>
      <c r="S2" s="10" t="s">
        <v>218</v>
      </c>
      <c r="T2" s="10" t="s">
        <v>219</v>
      </c>
      <c r="U2" s="10" t="s">
        <v>220</v>
      </c>
      <c r="V2" s="10" t="s">
        <v>221</v>
      </c>
      <c r="W2" s="10" t="s">
        <v>222</v>
      </c>
      <c r="X2" s="10" t="s">
        <v>223</v>
      </c>
      <c r="Y2" s="10" t="s">
        <v>224</v>
      </c>
      <c r="Z2" s="10" t="s">
        <v>225</v>
      </c>
      <c r="AA2" s="10" t="s">
        <v>226</v>
      </c>
      <c r="AB2" s="10" t="s">
        <v>227</v>
      </c>
      <c r="AC2" s="10" t="s">
        <v>228</v>
      </c>
      <c r="AD2" s="10" t="s">
        <v>229</v>
      </c>
      <c r="AE2" s="10" t="s">
        <v>230</v>
      </c>
      <c r="AF2" s="10" t="s">
        <v>30</v>
      </c>
      <c r="AG2" s="10" t="s">
        <v>231</v>
      </c>
      <c r="AH2" s="10" t="s">
        <v>40</v>
      </c>
      <c r="AI2" s="10" t="s">
        <v>232</v>
      </c>
      <c r="AJ2" s="10" t="s">
        <v>233</v>
      </c>
      <c r="AK2" s="10" t="s">
        <v>234</v>
      </c>
      <c r="AL2" s="10" t="s">
        <v>235</v>
      </c>
      <c r="AM2" s="10" t="s">
        <v>31</v>
      </c>
      <c r="AN2" s="10" t="s">
        <v>32</v>
      </c>
      <c r="AO2" s="10" t="s">
        <v>236</v>
      </c>
      <c r="AP2" s="10" t="s">
        <v>237</v>
      </c>
      <c r="AQ2" s="10" t="s">
        <v>238</v>
      </c>
      <c r="AR2" s="10" t="s">
        <v>239</v>
      </c>
      <c r="AS2" s="10" t="s">
        <v>335</v>
      </c>
      <c r="AT2" s="10" t="s">
        <v>35</v>
      </c>
      <c r="AU2" s="10" t="s">
        <v>36</v>
      </c>
      <c r="AV2" s="10" t="s">
        <v>240</v>
      </c>
      <c r="AW2" s="10" t="s">
        <v>241</v>
      </c>
      <c r="AX2" s="10" t="s">
        <v>242</v>
      </c>
      <c r="AY2" s="10" t="s">
        <v>243</v>
      </c>
      <c r="AZ2" s="10" t="s">
        <v>244</v>
      </c>
      <c r="BA2" s="10" t="s">
        <v>245</v>
      </c>
      <c r="BB2" s="10" t="s">
        <v>246</v>
      </c>
      <c r="BC2" s="10" t="s">
        <v>247</v>
      </c>
      <c r="BD2" s="10" t="s">
        <v>41</v>
      </c>
      <c r="BE2" s="10" t="s">
        <v>248</v>
      </c>
    </row>
    <row r="3" spans="1:57" ht="57">
      <c r="A3" s="5" t="s">
        <v>42</v>
      </c>
      <c r="B3" s="5" t="s">
        <v>249</v>
      </c>
      <c r="C3" s="5" t="s">
        <v>250</v>
      </c>
      <c r="D3" s="5" t="s">
        <v>44</v>
      </c>
      <c r="E3" s="5"/>
      <c r="F3" s="5"/>
      <c r="G3" s="5"/>
      <c r="H3" s="5" t="s">
        <v>251</v>
      </c>
      <c r="I3" s="5"/>
      <c r="J3" s="5"/>
      <c r="K3" s="5"/>
      <c r="L3" s="5"/>
      <c r="M3" s="5"/>
      <c r="N3" s="5"/>
      <c r="O3" s="5" t="s">
        <v>44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 t="s">
        <v>252</v>
      </c>
      <c r="AC3" s="5"/>
      <c r="AD3" s="5"/>
      <c r="AE3" s="5" t="s">
        <v>45</v>
      </c>
      <c r="AF3" s="5" t="s">
        <v>48</v>
      </c>
      <c r="AG3" s="5" t="s">
        <v>47</v>
      </c>
      <c r="AH3" s="5" t="s">
        <v>54</v>
      </c>
      <c r="AI3" s="5" t="s">
        <v>253</v>
      </c>
      <c r="AJ3" s="5"/>
      <c r="AK3" s="5"/>
      <c r="AL3" s="5" t="s">
        <v>189</v>
      </c>
      <c r="AM3" s="5" t="s">
        <v>49</v>
      </c>
      <c r="AN3" s="5" t="s">
        <v>254</v>
      </c>
      <c r="AO3" s="5"/>
      <c r="AP3" s="5" t="s">
        <v>255</v>
      </c>
      <c r="AQ3" s="5"/>
      <c r="AR3" s="5"/>
      <c r="AS3" s="5"/>
      <c r="AT3" s="5" t="s">
        <v>50</v>
      </c>
      <c r="AU3" s="5" t="s">
        <v>51</v>
      </c>
      <c r="AV3" s="5" t="s">
        <v>256</v>
      </c>
      <c r="AW3" s="5"/>
      <c r="AX3" s="5"/>
      <c r="AY3" s="5"/>
      <c r="AZ3" s="5"/>
      <c r="BA3" s="5"/>
      <c r="BB3" s="5"/>
      <c r="BC3" s="5"/>
      <c r="BD3" s="5"/>
      <c r="BE3" s="5" t="s">
        <v>52</v>
      </c>
    </row>
    <row r="4" spans="1:57" ht="42.75">
      <c r="A4" s="5" t="s">
        <v>55</v>
      </c>
      <c r="B4" s="5" t="s">
        <v>257</v>
      </c>
      <c r="C4" s="5" t="s">
        <v>258</v>
      </c>
      <c r="D4" s="5" t="s">
        <v>57</v>
      </c>
      <c r="E4" s="5"/>
      <c r="F4" s="5"/>
      <c r="G4" s="5"/>
      <c r="H4" s="5" t="s">
        <v>259</v>
      </c>
      <c r="I4" s="5"/>
      <c r="J4" s="5"/>
      <c r="K4" s="5"/>
      <c r="L4" s="5"/>
      <c r="M4" s="5"/>
      <c r="N4" s="5"/>
      <c r="O4" s="5" t="s">
        <v>57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 t="s">
        <v>252</v>
      </c>
      <c r="AC4" s="5"/>
      <c r="AD4" s="5"/>
      <c r="AE4" s="5" t="s">
        <v>58</v>
      </c>
      <c r="AF4" s="5" t="s">
        <v>61</v>
      </c>
      <c r="AG4" s="5" t="s">
        <v>63</v>
      </c>
      <c r="AH4" s="5" t="s">
        <v>64</v>
      </c>
      <c r="AI4" s="5" t="s">
        <v>253</v>
      </c>
      <c r="AJ4" s="5"/>
      <c r="AK4" s="5"/>
      <c r="AL4" s="5" t="s">
        <v>53</v>
      </c>
      <c r="AM4" s="5" t="s">
        <v>49</v>
      </c>
      <c r="AN4" s="5" t="s">
        <v>260</v>
      </c>
      <c r="AO4" s="5"/>
      <c r="AP4" s="5" t="s">
        <v>255</v>
      </c>
      <c r="AQ4" s="5"/>
      <c r="AR4" s="5"/>
      <c r="AS4" s="5"/>
      <c r="AT4" s="5" t="s">
        <v>62</v>
      </c>
      <c r="AU4" s="5" t="s">
        <v>62</v>
      </c>
      <c r="AV4" s="5" t="s">
        <v>256</v>
      </c>
      <c r="AW4" s="5"/>
      <c r="AX4" s="5"/>
      <c r="AY4" s="5"/>
      <c r="AZ4" s="5"/>
      <c r="BA4" s="5"/>
      <c r="BB4" s="5"/>
      <c r="BC4" s="5"/>
      <c r="BD4" s="5"/>
      <c r="BE4" s="5" t="s">
        <v>52</v>
      </c>
    </row>
    <row r="5" spans="1:57" ht="57">
      <c r="A5" s="5" t="s">
        <v>66</v>
      </c>
      <c r="B5" s="5" t="s">
        <v>261</v>
      </c>
      <c r="C5" s="5" t="s">
        <v>262</v>
      </c>
      <c r="D5" s="5" t="s">
        <v>68</v>
      </c>
      <c r="E5" s="5"/>
      <c r="F5" s="5"/>
      <c r="G5" s="5"/>
      <c r="H5" s="5" t="s">
        <v>251</v>
      </c>
      <c r="I5" s="5"/>
      <c r="J5" s="5"/>
      <c r="K5" s="5"/>
      <c r="L5" s="5"/>
      <c r="M5" s="5"/>
      <c r="N5" s="5"/>
      <c r="O5" s="5" t="s">
        <v>68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252</v>
      </c>
      <c r="AC5" s="5"/>
      <c r="AD5" s="5"/>
      <c r="AE5" s="5" t="s">
        <v>45</v>
      </c>
      <c r="AF5" s="5" t="s">
        <v>48</v>
      </c>
      <c r="AG5" s="5" t="s">
        <v>69</v>
      </c>
      <c r="AH5" s="5" t="s">
        <v>54</v>
      </c>
      <c r="AI5" s="5" t="s">
        <v>253</v>
      </c>
      <c r="AJ5" s="5"/>
      <c r="AK5" s="5"/>
      <c r="AL5" s="5" t="s">
        <v>189</v>
      </c>
      <c r="AM5" s="5" t="s">
        <v>49</v>
      </c>
      <c r="AN5" s="5" t="s">
        <v>263</v>
      </c>
      <c r="AO5" s="5"/>
      <c r="AP5" s="5" t="s">
        <v>255</v>
      </c>
      <c r="AQ5" s="5"/>
      <c r="AR5" s="5"/>
      <c r="AS5" s="5"/>
      <c r="AT5" s="5" t="s">
        <v>50</v>
      </c>
      <c r="AU5" s="5" t="s">
        <v>51</v>
      </c>
      <c r="AV5" s="5" t="s">
        <v>256</v>
      </c>
      <c r="AW5" s="5"/>
      <c r="AX5" s="5"/>
      <c r="AY5" s="5"/>
      <c r="AZ5" s="5"/>
      <c r="BA5" s="5"/>
      <c r="BB5" s="5"/>
      <c r="BC5" s="5"/>
      <c r="BD5" s="5"/>
      <c r="BE5" s="5" t="s">
        <v>52</v>
      </c>
    </row>
    <row r="6" spans="1:57" ht="57">
      <c r="A6" s="5" t="s">
        <v>70</v>
      </c>
      <c r="B6" s="5" t="s">
        <v>264</v>
      </c>
      <c r="C6" s="5" t="s">
        <v>265</v>
      </c>
      <c r="D6" s="5" t="s">
        <v>72</v>
      </c>
      <c r="E6" s="5"/>
      <c r="F6" s="5"/>
      <c r="G6" s="5"/>
      <c r="H6" s="5" t="s">
        <v>251</v>
      </c>
      <c r="I6" s="5"/>
      <c r="J6" s="5"/>
      <c r="K6" s="5"/>
      <c r="L6" s="5"/>
      <c r="M6" s="5"/>
      <c r="N6" s="5"/>
      <c r="O6" s="5" t="s">
        <v>72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 t="s">
        <v>252</v>
      </c>
      <c r="AC6" s="5"/>
      <c r="AD6" s="5"/>
      <c r="AE6" s="5" t="s">
        <v>73</v>
      </c>
      <c r="AF6" s="5" t="s">
        <v>48</v>
      </c>
      <c r="AG6" s="5" t="s">
        <v>63</v>
      </c>
      <c r="AH6" s="5" t="s">
        <v>64</v>
      </c>
      <c r="AI6" s="5" t="s">
        <v>253</v>
      </c>
      <c r="AJ6" s="5"/>
      <c r="AK6" s="5"/>
      <c r="AL6" s="5" t="s">
        <v>189</v>
      </c>
      <c r="AM6" s="5" t="s">
        <v>49</v>
      </c>
      <c r="AN6" s="5" t="s">
        <v>266</v>
      </c>
      <c r="AO6" s="5"/>
      <c r="AP6" s="5" t="s">
        <v>255</v>
      </c>
      <c r="AQ6" s="5"/>
      <c r="AR6" s="5"/>
      <c r="AS6" s="5"/>
      <c r="AT6" s="5" t="s">
        <v>50</v>
      </c>
      <c r="AU6" s="5" t="s">
        <v>51</v>
      </c>
      <c r="AV6" s="5" t="s">
        <v>256</v>
      </c>
      <c r="AW6" s="5"/>
      <c r="AX6" s="5"/>
      <c r="AY6" s="5"/>
      <c r="AZ6" s="5"/>
      <c r="BA6" s="5"/>
      <c r="BB6" s="5"/>
      <c r="BC6" s="5"/>
      <c r="BD6" s="5"/>
      <c r="BE6" s="5" t="s">
        <v>52</v>
      </c>
    </row>
    <row r="7" spans="1:57" ht="57">
      <c r="A7" s="5" t="s">
        <v>74</v>
      </c>
      <c r="B7" s="5" t="s">
        <v>267</v>
      </c>
      <c r="C7" s="5" t="s">
        <v>268</v>
      </c>
      <c r="D7" s="5" t="s">
        <v>76</v>
      </c>
      <c r="E7" s="5"/>
      <c r="F7" s="5"/>
      <c r="G7" s="5"/>
      <c r="H7" s="5" t="s">
        <v>251</v>
      </c>
      <c r="I7" s="5"/>
      <c r="J7" s="5"/>
      <c r="K7" s="5"/>
      <c r="L7" s="5"/>
      <c r="M7" s="5"/>
      <c r="N7" s="5"/>
      <c r="O7" s="5" t="s">
        <v>76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 t="s">
        <v>252</v>
      </c>
      <c r="AC7" s="5"/>
      <c r="AD7" s="5"/>
      <c r="AE7" s="5" t="s">
        <v>73</v>
      </c>
      <c r="AF7" s="5" t="s">
        <v>48</v>
      </c>
      <c r="AG7" s="5" t="s">
        <v>63</v>
      </c>
      <c r="AH7" s="5" t="s">
        <v>64</v>
      </c>
      <c r="AI7" s="5" t="s">
        <v>253</v>
      </c>
      <c r="AJ7" s="5"/>
      <c r="AK7" s="5"/>
      <c r="AL7" s="5" t="s">
        <v>189</v>
      </c>
      <c r="AM7" s="5" t="s">
        <v>49</v>
      </c>
      <c r="AN7" s="5" t="s">
        <v>260</v>
      </c>
      <c r="AO7" s="5"/>
      <c r="AP7" s="5" t="s">
        <v>255</v>
      </c>
      <c r="AQ7" s="5"/>
      <c r="AR7" s="5"/>
      <c r="AS7" s="5"/>
      <c r="AT7" s="5" t="s">
        <v>50</v>
      </c>
      <c r="AU7" s="5" t="s">
        <v>51</v>
      </c>
      <c r="AV7" s="5" t="s">
        <v>256</v>
      </c>
      <c r="AW7" s="5"/>
      <c r="AX7" s="5"/>
      <c r="AY7" s="5"/>
      <c r="AZ7" s="5"/>
      <c r="BA7" s="5"/>
      <c r="BB7" s="5"/>
      <c r="BC7" s="5"/>
      <c r="BD7" s="5"/>
      <c r="BE7" s="5" t="s">
        <v>52</v>
      </c>
    </row>
    <row r="8" spans="1:57" ht="57">
      <c r="A8" s="5" t="s">
        <v>77</v>
      </c>
      <c r="B8" s="5" t="s">
        <v>269</v>
      </c>
      <c r="C8" s="5" t="s">
        <v>270</v>
      </c>
      <c r="D8" s="5" t="s">
        <v>79</v>
      </c>
      <c r="E8" s="5"/>
      <c r="F8" s="5"/>
      <c r="G8" s="5"/>
      <c r="H8" s="5"/>
      <c r="I8" s="5"/>
      <c r="J8" s="5"/>
      <c r="K8" s="5"/>
      <c r="L8" s="5"/>
      <c r="M8" s="5"/>
      <c r="N8" s="5"/>
      <c r="O8" s="5" t="s">
        <v>79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252</v>
      </c>
      <c r="AC8" s="5"/>
      <c r="AD8" s="5"/>
      <c r="AE8" s="5" t="s">
        <v>45</v>
      </c>
      <c r="AF8" s="5" t="s">
        <v>48</v>
      </c>
      <c r="AG8" s="5" t="s">
        <v>47</v>
      </c>
      <c r="AH8" s="5"/>
      <c r="AI8" s="5"/>
      <c r="AJ8" s="5"/>
      <c r="AK8" s="5"/>
      <c r="AL8" s="5" t="s">
        <v>189</v>
      </c>
      <c r="AM8" s="5" t="s">
        <v>49</v>
      </c>
      <c r="AN8" s="5" t="s">
        <v>271</v>
      </c>
      <c r="AO8" s="5"/>
      <c r="AP8" s="5" t="s">
        <v>255</v>
      </c>
      <c r="AQ8" s="5"/>
      <c r="AR8" s="5"/>
      <c r="AS8" s="5"/>
      <c r="AT8" s="5" t="s">
        <v>50</v>
      </c>
      <c r="AU8" s="5" t="s">
        <v>51</v>
      </c>
      <c r="AV8" s="5" t="s">
        <v>256</v>
      </c>
      <c r="AW8" s="5"/>
      <c r="AX8" s="5"/>
      <c r="AY8" s="5"/>
      <c r="AZ8" s="5"/>
      <c r="BA8" s="5"/>
      <c r="BB8" s="5"/>
      <c r="BC8" s="5"/>
      <c r="BD8" s="5"/>
      <c r="BE8" s="5" t="s">
        <v>52</v>
      </c>
    </row>
    <row r="9" spans="1:57" ht="57">
      <c r="A9" s="5" t="s">
        <v>80</v>
      </c>
      <c r="B9" s="5" t="s">
        <v>272</v>
      </c>
      <c r="C9" s="5" t="s">
        <v>273</v>
      </c>
      <c r="D9" s="5" t="s">
        <v>82</v>
      </c>
      <c r="E9" s="5"/>
      <c r="F9" s="5"/>
      <c r="G9" s="5"/>
      <c r="H9" s="5" t="s">
        <v>251</v>
      </c>
      <c r="I9" s="5" t="s">
        <v>274</v>
      </c>
      <c r="J9" s="5"/>
      <c r="K9" s="5" t="s">
        <v>275</v>
      </c>
      <c r="L9" s="5"/>
      <c r="M9" s="5"/>
      <c r="N9" s="5"/>
      <c r="O9" s="5" t="s">
        <v>82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 t="s">
        <v>252</v>
      </c>
      <c r="AC9" s="5"/>
      <c r="AD9" s="5"/>
      <c r="AE9" s="5" t="s">
        <v>45</v>
      </c>
      <c r="AF9" s="5" t="s">
        <v>48</v>
      </c>
      <c r="AG9" s="5" t="s">
        <v>47</v>
      </c>
      <c r="AH9" s="5" t="s">
        <v>54</v>
      </c>
      <c r="AI9" s="5" t="s">
        <v>253</v>
      </c>
      <c r="AJ9" s="5"/>
      <c r="AK9" s="5"/>
      <c r="AL9" s="5" t="s">
        <v>189</v>
      </c>
      <c r="AM9" s="5" t="s">
        <v>49</v>
      </c>
      <c r="AN9" s="5" t="s">
        <v>276</v>
      </c>
      <c r="AO9" s="5"/>
      <c r="AP9" s="5" t="s">
        <v>255</v>
      </c>
      <c r="AQ9" s="5"/>
      <c r="AR9" s="5"/>
      <c r="AS9" s="5"/>
      <c r="AT9" s="5" t="s">
        <v>50</v>
      </c>
      <c r="AU9" s="5" t="s">
        <v>51</v>
      </c>
      <c r="AV9" s="5" t="s">
        <v>256</v>
      </c>
      <c r="AW9" s="5"/>
      <c r="AX9" s="5"/>
      <c r="AY9" s="5"/>
      <c r="AZ9" s="5"/>
      <c r="BA9" s="5"/>
      <c r="BB9" s="5"/>
      <c r="BC9" s="5"/>
      <c r="BD9" s="5"/>
      <c r="BE9" s="5" t="s">
        <v>52</v>
      </c>
    </row>
    <row r="10" spans="1:57" ht="57">
      <c r="A10" s="5" t="s">
        <v>83</v>
      </c>
      <c r="B10" s="5" t="s">
        <v>272</v>
      </c>
      <c r="C10" s="5" t="s">
        <v>277</v>
      </c>
      <c r="D10" s="5" t="s">
        <v>85</v>
      </c>
      <c r="E10" s="5"/>
      <c r="F10" s="5"/>
      <c r="G10" s="5"/>
      <c r="H10" s="5" t="s">
        <v>251</v>
      </c>
      <c r="I10" s="5" t="s">
        <v>274</v>
      </c>
      <c r="J10" s="5"/>
      <c r="K10" s="5" t="s">
        <v>275</v>
      </c>
      <c r="L10" s="5"/>
      <c r="M10" s="5"/>
      <c r="N10" s="5"/>
      <c r="O10" s="5" t="s">
        <v>85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 t="s">
        <v>252</v>
      </c>
      <c r="AC10" s="5"/>
      <c r="AD10" s="5"/>
      <c r="AE10" s="5" t="s">
        <v>45</v>
      </c>
      <c r="AF10" s="5" t="s">
        <v>48</v>
      </c>
      <c r="AG10" s="5" t="s">
        <v>47</v>
      </c>
      <c r="AH10" s="5" t="s">
        <v>54</v>
      </c>
      <c r="AI10" s="5" t="s">
        <v>253</v>
      </c>
      <c r="AJ10" s="5"/>
      <c r="AK10" s="5"/>
      <c r="AL10" s="5" t="s">
        <v>189</v>
      </c>
      <c r="AM10" s="5" t="s">
        <v>49</v>
      </c>
      <c r="AN10" s="5" t="s">
        <v>278</v>
      </c>
      <c r="AO10" s="5"/>
      <c r="AP10" s="5" t="s">
        <v>255</v>
      </c>
      <c r="AQ10" s="5"/>
      <c r="AR10" s="5"/>
      <c r="AS10" s="5"/>
      <c r="AT10" s="5" t="s">
        <v>50</v>
      </c>
      <c r="AU10" s="5" t="s">
        <v>51</v>
      </c>
      <c r="AV10" s="5" t="s">
        <v>256</v>
      </c>
      <c r="AW10" s="5"/>
      <c r="AX10" s="5"/>
      <c r="AY10" s="5"/>
      <c r="AZ10" s="5"/>
      <c r="BA10" s="5"/>
      <c r="BB10" s="5"/>
      <c r="BC10" s="5"/>
      <c r="BD10" s="5"/>
      <c r="BE10" s="5" t="s">
        <v>52</v>
      </c>
    </row>
    <row r="11" spans="1:57" ht="57">
      <c r="A11" s="5" t="s">
        <v>64</v>
      </c>
      <c r="B11" s="5" t="s">
        <v>267</v>
      </c>
      <c r="C11" s="5" t="s">
        <v>279</v>
      </c>
      <c r="D11" s="5" t="s">
        <v>87</v>
      </c>
      <c r="E11" s="5"/>
      <c r="F11" s="5"/>
      <c r="G11" s="5"/>
      <c r="H11" s="5" t="s">
        <v>259</v>
      </c>
      <c r="I11" s="5"/>
      <c r="J11" s="5"/>
      <c r="K11" s="5"/>
      <c r="L11" s="5"/>
      <c r="M11" s="5"/>
      <c r="N11" s="5"/>
      <c r="O11" s="5" t="s">
        <v>87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 t="s">
        <v>252</v>
      </c>
      <c r="AC11" s="5"/>
      <c r="AD11" s="5"/>
      <c r="AE11" s="5" t="s">
        <v>88</v>
      </c>
      <c r="AF11" s="5" t="s">
        <v>48</v>
      </c>
      <c r="AG11" s="5"/>
      <c r="AH11" s="5"/>
      <c r="AI11" s="5" t="s">
        <v>280</v>
      </c>
      <c r="AJ11" s="5" t="s">
        <v>88</v>
      </c>
      <c r="AK11" s="5"/>
      <c r="AL11" s="5" t="s">
        <v>189</v>
      </c>
      <c r="AM11" s="5" t="s">
        <v>49</v>
      </c>
      <c r="AN11" s="5" t="s">
        <v>281</v>
      </c>
      <c r="AO11" s="5"/>
      <c r="AP11" s="5" t="s">
        <v>255</v>
      </c>
      <c r="AQ11" s="5"/>
      <c r="AR11" s="5"/>
      <c r="AS11" s="5"/>
      <c r="AT11" s="5" t="s">
        <v>91</v>
      </c>
      <c r="AU11" s="5" t="s">
        <v>51</v>
      </c>
      <c r="AV11" s="5" t="s">
        <v>256</v>
      </c>
      <c r="AW11" s="5"/>
      <c r="AX11" s="5"/>
      <c r="AY11" s="5"/>
      <c r="AZ11" s="5"/>
      <c r="BA11" s="5"/>
      <c r="BB11" s="5"/>
      <c r="BC11" s="5"/>
      <c r="BD11" s="5"/>
      <c r="BE11" s="5" t="s">
        <v>52</v>
      </c>
    </row>
    <row r="12" spans="1:57" ht="57">
      <c r="A12" s="5" t="s">
        <v>54</v>
      </c>
      <c r="B12" s="5" t="s">
        <v>282</v>
      </c>
      <c r="C12" s="5" t="s">
        <v>283</v>
      </c>
      <c r="D12" s="5" t="s">
        <v>94</v>
      </c>
      <c r="E12" s="5"/>
      <c r="F12" s="5"/>
      <c r="G12" s="5"/>
      <c r="H12" s="5" t="s">
        <v>251</v>
      </c>
      <c r="I12" s="5"/>
      <c r="J12" s="5"/>
      <c r="K12" s="5"/>
      <c r="L12" s="5"/>
      <c r="M12" s="5"/>
      <c r="N12" s="5"/>
      <c r="O12" s="5" t="s">
        <v>94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 t="s">
        <v>252</v>
      </c>
      <c r="AC12" s="5"/>
      <c r="AD12" s="5"/>
      <c r="AE12" s="5" t="s">
        <v>95</v>
      </c>
      <c r="AF12" s="5" t="s">
        <v>48</v>
      </c>
      <c r="AG12" s="5" t="s">
        <v>63</v>
      </c>
      <c r="AH12" s="5" t="s">
        <v>64</v>
      </c>
      <c r="AI12" s="5" t="s">
        <v>280</v>
      </c>
      <c r="AJ12" s="5" t="s">
        <v>95</v>
      </c>
      <c r="AK12" s="5"/>
      <c r="AL12" s="5" t="s">
        <v>189</v>
      </c>
      <c r="AM12" s="5" t="s">
        <v>49</v>
      </c>
      <c r="AN12" s="5" t="s">
        <v>281</v>
      </c>
      <c r="AO12" s="5"/>
      <c r="AP12" s="5" t="s">
        <v>255</v>
      </c>
      <c r="AQ12" s="5"/>
      <c r="AR12" s="5"/>
      <c r="AS12" s="5"/>
      <c r="AT12" s="5" t="s">
        <v>50</v>
      </c>
      <c r="AU12" s="5" t="s">
        <v>51</v>
      </c>
      <c r="AV12" s="5" t="s">
        <v>256</v>
      </c>
      <c r="AW12" s="5"/>
      <c r="AX12" s="5"/>
      <c r="AY12" s="5"/>
      <c r="AZ12" s="5"/>
      <c r="BA12" s="5"/>
      <c r="BB12" s="5"/>
      <c r="BC12" s="5"/>
      <c r="BD12" s="5"/>
      <c r="BE12" s="5" t="s">
        <v>52</v>
      </c>
    </row>
    <row r="13" spans="1:57" ht="57">
      <c r="A13" s="5" t="s">
        <v>96</v>
      </c>
      <c r="B13" s="5" t="s">
        <v>284</v>
      </c>
      <c r="C13" s="5" t="s">
        <v>285</v>
      </c>
      <c r="D13" s="5" t="s">
        <v>98</v>
      </c>
      <c r="E13" s="5"/>
      <c r="F13" s="5"/>
      <c r="G13" s="5"/>
      <c r="H13" s="5" t="s">
        <v>251</v>
      </c>
      <c r="I13" s="5"/>
      <c r="J13" s="5"/>
      <c r="K13" s="5"/>
      <c r="L13" s="5"/>
      <c r="M13" s="5"/>
      <c r="N13" s="5"/>
      <c r="O13" s="5" t="s">
        <v>98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252</v>
      </c>
      <c r="AC13" s="5"/>
      <c r="AD13" s="5"/>
      <c r="AE13" s="5" t="s">
        <v>45</v>
      </c>
      <c r="AF13" s="5" t="s">
        <v>48</v>
      </c>
      <c r="AG13" s="5" t="s">
        <v>47</v>
      </c>
      <c r="AH13" s="5" t="s">
        <v>54</v>
      </c>
      <c r="AI13" s="5" t="s">
        <v>253</v>
      </c>
      <c r="AJ13" s="5"/>
      <c r="AK13" s="5"/>
      <c r="AL13" s="5" t="s">
        <v>189</v>
      </c>
      <c r="AM13" s="5" t="s">
        <v>49</v>
      </c>
      <c r="AN13" s="5" t="s">
        <v>286</v>
      </c>
      <c r="AO13" s="5"/>
      <c r="AP13" s="5" t="s">
        <v>255</v>
      </c>
      <c r="AQ13" s="5"/>
      <c r="AR13" s="5"/>
      <c r="AS13" s="5"/>
      <c r="AT13" s="5" t="s">
        <v>50</v>
      </c>
      <c r="AU13" s="5" t="s">
        <v>51</v>
      </c>
      <c r="AV13" s="5" t="s">
        <v>256</v>
      </c>
      <c r="AW13" s="5"/>
      <c r="AX13" s="5"/>
      <c r="AY13" s="5"/>
      <c r="AZ13" s="5"/>
      <c r="BA13" s="5"/>
      <c r="BB13" s="5"/>
      <c r="BC13" s="5"/>
      <c r="BD13" s="5"/>
      <c r="BE13" s="5" t="s">
        <v>52</v>
      </c>
    </row>
    <row r="14" spans="1:57" ht="57">
      <c r="A14" s="5" t="s">
        <v>99</v>
      </c>
      <c r="B14" s="5" t="s">
        <v>284</v>
      </c>
      <c r="C14" s="5" t="s">
        <v>287</v>
      </c>
      <c r="D14" s="5" t="s">
        <v>101</v>
      </c>
      <c r="E14" s="5"/>
      <c r="F14" s="5"/>
      <c r="G14" s="5"/>
      <c r="H14" s="5" t="s">
        <v>251</v>
      </c>
      <c r="I14" s="5"/>
      <c r="J14" s="5"/>
      <c r="K14" s="5"/>
      <c r="L14" s="5"/>
      <c r="M14" s="5"/>
      <c r="N14" s="5"/>
      <c r="O14" s="5" t="s">
        <v>101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 t="s">
        <v>252</v>
      </c>
      <c r="AC14" s="5"/>
      <c r="AD14" s="5"/>
      <c r="AE14" s="5" t="s">
        <v>102</v>
      </c>
      <c r="AF14" s="5" t="s">
        <v>48</v>
      </c>
      <c r="AG14" s="5" t="s">
        <v>47</v>
      </c>
      <c r="AH14" s="5" t="s">
        <v>54</v>
      </c>
      <c r="AI14" s="5" t="s">
        <v>253</v>
      </c>
      <c r="AJ14" s="5"/>
      <c r="AK14" s="5"/>
      <c r="AL14" s="5" t="s">
        <v>189</v>
      </c>
      <c r="AM14" s="5" t="s">
        <v>49</v>
      </c>
      <c r="AN14" s="5" t="s">
        <v>288</v>
      </c>
      <c r="AO14" s="5"/>
      <c r="AP14" s="5" t="s">
        <v>255</v>
      </c>
      <c r="AQ14" s="5"/>
      <c r="AR14" s="5"/>
      <c r="AS14" s="5"/>
      <c r="AT14" s="5" t="s">
        <v>50</v>
      </c>
      <c r="AU14" s="5" t="s">
        <v>51</v>
      </c>
      <c r="AV14" s="5" t="s">
        <v>256</v>
      </c>
      <c r="AW14" s="5"/>
      <c r="AX14" s="5"/>
      <c r="AY14" s="5"/>
      <c r="AZ14" s="5"/>
      <c r="BA14" s="5"/>
      <c r="BB14" s="5"/>
      <c r="BC14" s="5"/>
      <c r="BD14" s="5"/>
      <c r="BE14" s="5" t="s">
        <v>52</v>
      </c>
    </row>
    <row r="15" spans="1:57" ht="57">
      <c r="A15" s="5" t="s">
        <v>103</v>
      </c>
      <c r="B15" s="5" t="s">
        <v>289</v>
      </c>
      <c r="C15" s="5" t="s">
        <v>290</v>
      </c>
      <c r="D15" s="5" t="s">
        <v>105</v>
      </c>
      <c r="E15" s="5"/>
      <c r="F15" s="5"/>
      <c r="G15" s="5"/>
      <c r="H15" s="5" t="s">
        <v>251</v>
      </c>
      <c r="I15" s="5"/>
      <c r="J15" s="5"/>
      <c r="K15" s="5"/>
      <c r="L15" s="5"/>
      <c r="M15" s="5"/>
      <c r="N15" s="5"/>
      <c r="O15" s="5" t="s">
        <v>105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 t="s">
        <v>252</v>
      </c>
      <c r="AC15" s="5"/>
      <c r="AD15" s="5"/>
      <c r="AE15" s="5" t="s">
        <v>45</v>
      </c>
      <c r="AF15" s="5" t="s">
        <v>48</v>
      </c>
      <c r="AG15" s="5" t="s">
        <v>47</v>
      </c>
      <c r="AH15" s="5" t="s">
        <v>54</v>
      </c>
      <c r="AI15" s="5" t="s">
        <v>253</v>
      </c>
      <c r="AJ15" s="5"/>
      <c r="AK15" s="5"/>
      <c r="AL15" s="5" t="s">
        <v>189</v>
      </c>
      <c r="AM15" s="5" t="s">
        <v>49</v>
      </c>
      <c r="AN15" s="5" t="s">
        <v>291</v>
      </c>
      <c r="AO15" s="5"/>
      <c r="AP15" s="5" t="s">
        <v>255</v>
      </c>
      <c r="AQ15" s="5"/>
      <c r="AR15" s="5"/>
      <c r="AS15" s="5"/>
      <c r="AT15" s="5" t="s">
        <v>50</v>
      </c>
      <c r="AU15" s="5" t="s">
        <v>51</v>
      </c>
      <c r="AV15" s="5" t="s">
        <v>256</v>
      </c>
      <c r="AW15" s="5"/>
      <c r="AX15" s="5"/>
      <c r="AY15" s="5"/>
      <c r="AZ15" s="5"/>
      <c r="BA15" s="5"/>
      <c r="BB15" s="5"/>
      <c r="BC15" s="5"/>
      <c r="BD15" s="5"/>
      <c r="BE15" s="5" t="s">
        <v>52</v>
      </c>
    </row>
    <row r="16" spans="1:57" ht="57">
      <c r="A16" s="5" t="s">
        <v>106</v>
      </c>
      <c r="B16" s="5" t="s">
        <v>292</v>
      </c>
      <c r="C16" s="5" t="s">
        <v>293</v>
      </c>
      <c r="D16" s="5" t="s">
        <v>108</v>
      </c>
      <c r="E16" s="5"/>
      <c r="F16" s="5"/>
      <c r="G16" s="5"/>
      <c r="H16" s="5" t="s">
        <v>251</v>
      </c>
      <c r="I16" s="5"/>
      <c r="J16" s="5"/>
      <c r="K16" s="5"/>
      <c r="L16" s="5"/>
      <c r="M16" s="5"/>
      <c r="N16" s="5"/>
      <c r="O16" s="5" t="s">
        <v>108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 t="s">
        <v>252</v>
      </c>
      <c r="AC16" s="5"/>
      <c r="AD16" s="5"/>
      <c r="AE16" s="5" t="s">
        <v>45</v>
      </c>
      <c r="AF16" s="5" t="s">
        <v>48</v>
      </c>
      <c r="AG16" s="5" t="s">
        <v>47</v>
      </c>
      <c r="AH16" s="5" t="s">
        <v>54</v>
      </c>
      <c r="AI16" s="5" t="s">
        <v>253</v>
      </c>
      <c r="AJ16" s="5"/>
      <c r="AK16" s="5"/>
      <c r="AL16" s="5" t="s">
        <v>189</v>
      </c>
      <c r="AM16" s="5" t="s">
        <v>49</v>
      </c>
      <c r="AN16" s="5" t="s">
        <v>294</v>
      </c>
      <c r="AO16" s="5"/>
      <c r="AP16" s="5" t="s">
        <v>255</v>
      </c>
      <c r="AQ16" s="5"/>
      <c r="AR16" s="5"/>
      <c r="AS16" s="5"/>
      <c r="AT16" s="5" t="s">
        <v>50</v>
      </c>
      <c r="AU16" s="5" t="s">
        <v>51</v>
      </c>
      <c r="AV16" s="5" t="s">
        <v>256</v>
      </c>
      <c r="AW16" s="5"/>
      <c r="AX16" s="5"/>
      <c r="AY16" s="5"/>
      <c r="AZ16" s="5"/>
      <c r="BA16" s="5"/>
      <c r="BB16" s="5"/>
      <c r="BC16" s="5"/>
      <c r="BD16" s="5"/>
      <c r="BE16" s="5" t="s">
        <v>52</v>
      </c>
    </row>
    <row r="17" spans="1:57" ht="57">
      <c r="A17" s="5" t="s">
        <v>109</v>
      </c>
      <c r="B17" s="5" t="s">
        <v>267</v>
      </c>
      <c r="C17" s="5" t="s">
        <v>295</v>
      </c>
      <c r="D17" s="5" t="s">
        <v>111</v>
      </c>
      <c r="E17" s="5"/>
      <c r="F17" s="5"/>
      <c r="G17" s="5" t="s">
        <v>296</v>
      </c>
      <c r="H17" s="5" t="s">
        <v>259</v>
      </c>
      <c r="I17" s="5"/>
      <c r="J17" s="5"/>
      <c r="K17" s="5"/>
      <c r="L17" s="5"/>
      <c r="M17" s="5"/>
      <c r="N17" s="5"/>
      <c r="O17" s="5" t="s">
        <v>111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 t="s">
        <v>252</v>
      </c>
      <c r="AC17" s="5"/>
      <c r="AD17" s="5"/>
      <c r="AE17" s="5" t="s">
        <v>112</v>
      </c>
      <c r="AF17" s="5" t="s">
        <v>48</v>
      </c>
      <c r="AG17" s="5" t="s">
        <v>63</v>
      </c>
      <c r="AH17" s="5" t="s">
        <v>64</v>
      </c>
      <c r="AI17" s="5" t="s">
        <v>297</v>
      </c>
      <c r="AJ17" s="5" t="s">
        <v>112</v>
      </c>
      <c r="AK17" s="5"/>
      <c r="AL17" s="5" t="s">
        <v>189</v>
      </c>
      <c r="AM17" s="5" t="s">
        <v>49</v>
      </c>
      <c r="AN17" s="5" t="s">
        <v>298</v>
      </c>
      <c r="AO17" s="5"/>
      <c r="AP17" s="5" t="s">
        <v>255</v>
      </c>
      <c r="AQ17" s="5"/>
      <c r="AR17" s="5"/>
      <c r="AS17" s="5"/>
      <c r="AT17" s="5" t="s">
        <v>50</v>
      </c>
      <c r="AU17" s="5" t="s">
        <v>51</v>
      </c>
      <c r="AV17" s="5" t="s">
        <v>256</v>
      </c>
      <c r="AW17" s="5"/>
      <c r="AX17" s="5"/>
      <c r="AY17" s="5"/>
      <c r="AZ17" s="5"/>
      <c r="BA17" s="5"/>
      <c r="BB17" s="5"/>
      <c r="BC17" s="5"/>
      <c r="BD17" s="5"/>
      <c r="BE17" s="5" t="s">
        <v>52</v>
      </c>
    </row>
    <row r="18" spans="1:57" ht="57">
      <c r="A18" s="5" t="s">
        <v>113</v>
      </c>
      <c r="B18" s="5" t="s">
        <v>299</v>
      </c>
      <c r="C18" s="5" t="s">
        <v>300</v>
      </c>
      <c r="D18" s="5" t="s">
        <v>115</v>
      </c>
      <c r="E18" s="5"/>
      <c r="F18" s="5"/>
      <c r="G18" s="5"/>
      <c r="H18" s="5" t="s">
        <v>251</v>
      </c>
      <c r="I18" s="5"/>
      <c r="J18" s="5"/>
      <c r="K18" s="5"/>
      <c r="L18" s="5"/>
      <c r="M18" s="5"/>
      <c r="N18" s="5"/>
      <c r="O18" s="5" t="s">
        <v>115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 t="s">
        <v>252</v>
      </c>
      <c r="AC18" s="5"/>
      <c r="AD18" s="5"/>
      <c r="AE18" s="5" t="s">
        <v>45</v>
      </c>
      <c r="AF18" s="5" t="s">
        <v>48</v>
      </c>
      <c r="AG18" s="5" t="s">
        <v>47</v>
      </c>
      <c r="AH18" s="5" t="s">
        <v>54</v>
      </c>
      <c r="AI18" s="5" t="s">
        <v>253</v>
      </c>
      <c r="AJ18" s="5"/>
      <c r="AK18" s="5"/>
      <c r="AL18" s="5" t="s">
        <v>189</v>
      </c>
      <c r="AM18" s="5" t="s">
        <v>49</v>
      </c>
      <c r="AN18" s="5" t="s">
        <v>301</v>
      </c>
      <c r="AO18" s="5"/>
      <c r="AP18" s="5" t="s">
        <v>255</v>
      </c>
      <c r="AQ18" s="5"/>
      <c r="AR18" s="5"/>
      <c r="AS18" s="5"/>
      <c r="AT18" s="5" t="s">
        <v>50</v>
      </c>
      <c r="AU18" s="5" t="s">
        <v>51</v>
      </c>
      <c r="AV18" s="5" t="s">
        <v>256</v>
      </c>
      <c r="AW18" s="5"/>
      <c r="AX18" s="5"/>
      <c r="AY18" s="5"/>
      <c r="AZ18" s="5"/>
      <c r="BA18" s="5"/>
      <c r="BB18" s="5"/>
      <c r="BC18" s="5"/>
      <c r="BD18" s="5"/>
      <c r="BE18" s="5" t="s">
        <v>52</v>
      </c>
    </row>
    <row r="19" spans="1:57" ht="57">
      <c r="A19" s="5" t="s">
        <v>116</v>
      </c>
      <c r="B19" s="5" t="s">
        <v>269</v>
      </c>
      <c r="C19" s="5" t="s">
        <v>302</v>
      </c>
      <c r="D19" s="5" t="s">
        <v>118</v>
      </c>
      <c r="E19" s="5"/>
      <c r="F19" s="5"/>
      <c r="G19" s="5"/>
      <c r="H19" s="5" t="s">
        <v>251</v>
      </c>
      <c r="I19" s="5"/>
      <c r="J19" s="5"/>
      <c r="K19" s="5"/>
      <c r="L19" s="5"/>
      <c r="M19" s="5"/>
      <c r="N19" s="5"/>
      <c r="O19" s="5" t="s">
        <v>118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 t="s">
        <v>252</v>
      </c>
      <c r="AC19" s="5"/>
      <c r="AD19" s="5"/>
      <c r="AE19" s="5" t="s">
        <v>45</v>
      </c>
      <c r="AF19" s="5" t="s">
        <v>48</v>
      </c>
      <c r="AG19" s="5" t="s">
        <v>47</v>
      </c>
      <c r="AH19" s="5" t="s">
        <v>54</v>
      </c>
      <c r="AI19" s="5" t="s">
        <v>253</v>
      </c>
      <c r="AJ19" s="5"/>
      <c r="AK19" s="5"/>
      <c r="AL19" s="5" t="s">
        <v>189</v>
      </c>
      <c r="AM19" s="5" t="s">
        <v>49</v>
      </c>
      <c r="AN19" s="5" t="s">
        <v>303</v>
      </c>
      <c r="AO19" s="5"/>
      <c r="AP19" s="5" t="s">
        <v>255</v>
      </c>
      <c r="AQ19" s="5"/>
      <c r="AR19" s="5"/>
      <c r="AS19" s="5"/>
      <c r="AT19" s="5" t="s">
        <v>50</v>
      </c>
      <c r="AU19" s="5" t="s">
        <v>51</v>
      </c>
      <c r="AV19" s="5" t="s">
        <v>256</v>
      </c>
      <c r="AW19" s="5"/>
      <c r="AX19" s="5"/>
      <c r="AY19" s="5"/>
      <c r="AZ19" s="5"/>
      <c r="BA19" s="5"/>
      <c r="BB19" s="5"/>
      <c r="BC19" s="5"/>
      <c r="BD19" s="5"/>
      <c r="BE19" s="5" t="s">
        <v>52</v>
      </c>
    </row>
    <row r="20" spans="1:57" ht="57">
      <c r="A20" s="5" t="s">
        <v>119</v>
      </c>
      <c r="B20" s="5" t="s">
        <v>264</v>
      </c>
      <c r="C20" s="5" t="s">
        <v>304</v>
      </c>
      <c r="D20" s="5" t="s">
        <v>121</v>
      </c>
      <c r="E20" s="5"/>
      <c r="F20" s="5"/>
      <c r="G20" s="5"/>
      <c r="H20" s="5" t="s">
        <v>251</v>
      </c>
      <c r="I20" s="5"/>
      <c r="J20" s="5"/>
      <c r="K20" s="5"/>
      <c r="L20" s="5"/>
      <c r="M20" s="5"/>
      <c r="N20" s="5"/>
      <c r="O20" s="5" t="s">
        <v>121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 t="s">
        <v>252</v>
      </c>
      <c r="AC20" s="5"/>
      <c r="AD20" s="5"/>
      <c r="AE20" s="5" t="s">
        <v>45</v>
      </c>
      <c r="AF20" s="5" t="s">
        <v>48</v>
      </c>
      <c r="AG20" s="5" t="s">
        <v>69</v>
      </c>
      <c r="AH20" s="5" t="s">
        <v>54</v>
      </c>
      <c r="AI20" s="5" t="s">
        <v>253</v>
      </c>
      <c r="AJ20" s="5"/>
      <c r="AK20" s="5"/>
      <c r="AL20" s="5" t="s">
        <v>189</v>
      </c>
      <c r="AM20" s="5" t="s">
        <v>49</v>
      </c>
      <c r="AN20" s="5" t="s">
        <v>305</v>
      </c>
      <c r="AO20" s="5"/>
      <c r="AP20" s="5" t="s">
        <v>255</v>
      </c>
      <c r="AQ20" s="5"/>
      <c r="AR20" s="5"/>
      <c r="AS20" s="5"/>
      <c r="AT20" s="5" t="s">
        <v>50</v>
      </c>
      <c r="AU20" s="5" t="s">
        <v>51</v>
      </c>
      <c r="AV20" s="5" t="s">
        <v>256</v>
      </c>
      <c r="AW20" s="5"/>
      <c r="AX20" s="5"/>
      <c r="AY20" s="5"/>
      <c r="AZ20" s="5"/>
      <c r="BA20" s="5"/>
      <c r="BB20" s="5"/>
      <c r="BC20" s="5"/>
      <c r="BD20" s="5"/>
      <c r="BE20" s="5" t="s">
        <v>52</v>
      </c>
    </row>
    <row r="21" spans="1:57" ht="57">
      <c r="A21" s="5" t="s">
        <v>122</v>
      </c>
      <c r="B21" s="5" t="s">
        <v>292</v>
      </c>
      <c r="C21" s="5" t="s">
        <v>306</v>
      </c>
      <c r="D21" s="5" t="s">
        <v>124</v>
      </c>
      <c r="E21" s="5"/>
      <c r="F21" s="5"/>
      <c r="G21" s="5"/>
      <c r="H21" s="5" t="s">
        <v>251</v>
      </c>
      <c r="I21" s="5"/>
      <c r="J21" s="5"/>
      <c r="K21" s="5"/>
      <c r="L21" s="5"/>
      <c r="M21" s="5"/>
      <c r="N21" s="5"/>
      <c r="O21" s="5" t="s">
        <v>124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 t="s">
        <v>252</v>
      </c>
      <c r="AC21" s="5"/>
      <c r="AD21" s="5"/>
      <c r="AE21" s="5" t="s">
        <v>45</v>
      </c>
      <c r="AF21" s="5" t="s">
        <v>48</v>
      </c>
      <c r="AG21" s="5" t="s">
        <v>69</v>
      </c>
      <c r="AH21" s="5" t="s">
        <v>54</v>
      </c>
      <c r="AI21" s="5" t="s">
        <v>253</v>
      </c>
      <c r="AJ21" s="5"/>
      <c r="AK21" s="5"/>
      <c r="AL21" s="5" t="s">
        <v>189</v>
      </c>
      <c r="AM21" s="5" t="s">
        <v>49</v>
      </c>
      <c r="AN21" s="5" t="s">
        <v>307</v>
      </c>
      <c r="AO21" s="5"/>
      <c r="AP21" s="5" t="s">
        <v>255</v>
      </c>
      <c r="AQ21" s="5"/>
      <c r="AR21" s="5"/>
      <c r="AS21" s="5"/>
      <c r="AT21" s="5" t="s">
        <v>50</v>
      </c>
      <c r="AU21" s="5" t="s">
        <v>51</v>
      </c>
      <c r="AV21" s="5" t="s">
        <v>256</v>
      </c>
      <c r="AW21" s="5"/>
      <c r="AX21" s="5"/>
      <c r="AY21" s="5"/>
      <c r="AZ21" s="5"/>
      <c r="BA21" s="5"/>
      <c r="BB21" s="5"/>
      <c r="BC21" s="5"/>
      <c r="BD21" s="5"/>
      <c r="BE21" s="5" t="s">
        <v>52</v>
      </c>
    </row>
    <row r="22" spans="1:57" ht="57">
      <c r="A22" s="5" t="s">
        <v>125</v>
      </c>
      <c r="B22" s="5" t="s">
        <v>292</v>
      </c>
      <c r="C22" s="5" t="s">
        <v>308</v>
      </c>
      <c r="D22" s="5" t="s">
        <v>127</v>
      </c>
      <c r="E22" s="5"/>
      <c r="F22" s="5"/>
      <c r="G22" s="5"/>
      <c r="H22" s="5" t="s">
        <v>251</v>
      </c>
      <c r="I22" s="5"/>
      <c r="J22" s="5"/>
      <c r="K22" s="5"/>
      <c r="L22" s="5"/>
      <c r="M22" s="5"/>
      <c r="N22" s="5"/>
      <c r="O22" s="5" t="s">
        <v>127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 t="s">
        <v>252</v>
      </c>
      <c r="AC22" s="5"/>
      <c r="AD22" s="5"/>
      <c r="AE22" s="5" t="s">
        <v>45</v>
      </c>
      <c r="AF22" s="5" t="s">
        <v>48</v>
      </c>
      <c r="AG22" s="5" t="s">
        <v>47</v>
      </c>
      <c r="AH22" s="5" t="s">
        <v>54</v>
      </c>
      <c r="AI22" s="5" t="s">
        <v>253</v>
      </c>
      <c r="AJ22" s="5"/>
      <c r="AK22" s="5"/>
      <c r="AL22" s="5" t="s">
        <v>189</v>
      </c>
      <c r="AM22" s="5" t="s">
        <v>49</v>
      </c>
      <c r="AN22" s="5" t="s">
        <v>309</v>
      </c>
      <c r="AO22" s="5"/>
      <c r="AP22" s="5" t="s">
        <v>255</v>
      </c>
      <c r="AQ22" s="5"/>
      <c r="AR22" s="5"/>
      <c r="AS22" s="5"/>
      <c r="AT22" s="5" t="s">
        <v>50</v>
      </c>
      <c r="AU22" s="5" t="s">
        <v>51</v>
      </c>
      <c r="AV22" s="5" t="s">
        <v>256</v>
      </c>
      <c r="AW22" s="5"/>
      <c r="AX22" s="5"/>
      <c r="AY22" s="5"/>
      <c r="AZ22" s="5"/>
      <c r="BA22" s="5"/>
      <c r="BB22" s="5"/>
      <c r="BC22" s="5"/>
      <c r="BD22" s="5"/>
      <c r="BE22" s="5" t="s">
        <v>52</v>
      </c>
    </row>
    <row r="23" spans="1:57" ht="57">
      <c r="A23" s="5" t="s">
        <v>128</v>
      </c>
      <c r="B23" s="5" t="s">
        <v>310</v>
      </c>
      <c r="C23" s="5" t="s">
        <v>311</v>
      </c>
      <c r="D23" s="5" t="s">
        <v>130</v>
      </c>
      <c r="E23" s="5"/>
      <c r="F23" s="5"/>
      <c r="G23" s="5"/>
      <c r="H23" s="5" t="s">
        <v>251</v>
      </c>
      <c r="I23" s="5"/>
      <c r="J23" s="5"/>
      <c r="K23" s="5"/>
      <c r="L23" s="5"/>
      <c r="M23" s="5"/>
      <c r="N23" s="5"/>
      <c r="O23" s="5" t="s">
        <v>130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 t="s">
        <v>252</v>
      </c>
      <c r="AC23" s="5"/>
      <c r="AD23" s="5"/>
      <c r="AE23" s="5" t="s">
        <v>45</v>
      </c>
      <c r="AF23" s="5" t="s">
        <v>48</v>
      </c>
      <c r="AG23" s="5" t="s">
        <v>47</v>
      </c>
      <c r="AH23" s="5" t="s">
        <v>54</v>
      </c>
      <c r="AI23" s="5" t="s">
        <v>253</v>
      </c>
      <c r="AJ23" s="5"/>
      <c r="AK23" s="5"/>
      <c r="AL23" s="5" t="s">
        <v>189</v>
      </c>
      <c r="AM23" s="5" t="s">
        <v>49</v>
      </c>
      <c r="AN23" s="5" t="s">
        <v>312</v>
      </c>
      <c r="AO23" s="5"/>
      <c r="AP23" s="5" t="s">
        <v>255</v>
      </c>
      <c r="AQ23" s="5"/>
      <c r="AR23" s="5"/>
      <c r="AS23" s="5"/>
      <c r="AT23" s="5" t="s">
        <v>50</v>
      </c>
      <c r="AU23" s="5" t="s">
        <v>51</v>
      </c>
      <c r="AV23" s="5" t="s">
        <v>256</v>
      </c>
      <c r="AW23" s="5"/>
      <c r="AX23" s="5"/>
      <c r="AY23" s="5"/>
      <c r="AZ23" s="5"/>
      <c r="BA23" s="5"/>
      <c r="BB23" s="5"/>
      <c r="BC23" s="5"/>
      <c r="BD23" s="5"/>
      <c r="BE23" s="5" t="s">
        <v>52</v>
      </c>
    </row>
    <row r="24" spans="1:57" ht="57">
      <c r="A24" s="5" t="s">
        <v>131</v>
      </c>
      <c r="B24" s="5" t="s">
        <v>313</v>
      </c>
      <c r="C24" s="5" t="s">
        <v>314</v>
      </c>
      <c r="D24" s="5" t="s">
        <v>133</v>
      </c>
      <c r="E24" s="5"/>
      <c r="F24" s="5"/>
      <c r="G24" s="5"/>
      <c r="H24" s="5" t="s">
        <v>251</v>
      </c>
      <c r="I24" s="5"/>
      <c r="J24" s="5"/>
      <c r="K24" s="5"/>
      <c r="L24" s="5"/>
      <c r="M24" s="5"/>
      <c r="N24" s="5"/>
      <c r="O24" s="5" t="s">
        <v>133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 t="s">
        <v>252</v>
      </c>
      <c r="AC24" s="5"/>
      <c r="AD24" s="5"/>
      <c r="AE24" s="5" t="s">
        <v>45</v>
      </c>
      <c r="AF24" s="5" t="s">
        <v>48</v>
      </c>
      <c r="AG24" s="5" t="s">
        <v>47</v>
      </c>
      <c r="AH24" s="5" t="s">
        <v>54</v>
      </c>
      <c r="AI24" s="5" t="s">
        <v>253</v>
      </c>
      <c r="AJ24" s="5"/>
      <c r="AK24" s="5"/>
      <c r="AL24" s="5" t="s">
        <v>189</v>
      </c>
      <c r="AM24" s="5" t="s">
        <v>49</v>
      </c>
      <c r="AN24" s="5" t="s">
        <v>315</v>
      </c>
      <c r="AO24" s="5"/>
      <c r="AP24" s="5" t="s">
        <v>255</v>
      </c>
      <c r="AQ24" s="5"/>
      <c r="AR24" s="5"/>
      <c r="AS24" s="5"/>
      <c r="AT24" s="5" t="s">
        <v>50</v>
      </c>
      <c r="AU24" s="5" t="s">
        <v>51</v>
      </c>
      <c r="AV24" s="5" t="s">
        <v>256</v>
      </c>
      <c r="AW24" s="5"/>
      <c r="AX24" s="5"/>
      <c r="AY24" s="5"/>
      <c r="AZ24" s="5"/>
      <c r="BA24" s="5"/>
      <c r="BB24" s="5"/>
      <c r="BC24" s="5"/>
      <c r="BD24" s="5"/>
      <c r="BE24" s="5" t="s">
        <v>52</v>
      </c>
    </row>
    <row r="25" spans="1:57" ht="57">
      <c r="A25" s="5" t="s">
        <v>134</v>
      </c>
      <c r="B25" s="5" t="s">
        <v>264</v>
      </c>
      <c r="C25" s="5" t="s">
        <v>316</v>
      </c>
      <c r="D25" s="5" t="s">
        <v>136</v>
      </c>
      <c r="E25" s="5"/>
      <c r="F25" s="5"/>
      <c r="G25" s="5"/>
      <c r="H25" s="5" t="s">
        <v>251</v>
      </c>
      <c r="I25" s="5"/>
      <c r="J25" s="5"/>
      <c r="K25" s="5"/>
      <c r="L25" s="5"/>
      <c r="M25" s="5"/>
      <c r="N25" s="5"/>
      <c r="O25" s="5" t="s">
        <v>136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 t="s">
        <v>252</v>
      </c>
      <c r="AC25" s="5"/>
      <c r="AD25" s="5"/>
      <c r="AE25" s="5" t="s">
        <v>45</v>
      </c>
      <c r="AF25" s="5" t="s">
        <v>48</v>
      </c>
      <c r="AG25" s="5" t="s">
        <v>47</v>
      </c>
      <c r="AH25" s="5" t="s">
        <v>54</v>
      </c>
      <c r="AI25" s="5" t="s">
        <v>253</v>
      </c>
      <c r="AJ25" s="5"/>
      <c r="AK25" s="5"/>
      <c r="AL25" s="5" t="s">
        <v>189</v>
      </c>
      <c r="AM25" s="5" t="s">
        <v>49</v>
      </c>
      <c r="AN25" s="5" t="s">
        <v>317</v>
      </c>
      <c r="AO25" s="5"/>
      <c r="AP25" s="5" t="s">
        <v>255</v>
      </c>
      <c r="AQ25" s="5"/>
      <c r="AR25" s="5"/>
      <c r="AS25" s="5"/>
      <c r="AT25" s="5" t="s">
        <v>50</v>
      </c>
      <c r="AU25" s="5" t="s">
        <v>51</v>
      </c>
      <c r="AV25" s="5" t="s">
        <v>256</v>
      </c>
      <c r="AW25" s="5"/>
      <c r="AX25" s="5"/>
      <c r="AY25" s="5"/>
      <c r="AZ25" s="5"/>
      <c r="BA25" s="5"/>
      <c r="BB25" s="5"/>
      <c r="BC25" s="5"/>
      <c r="BD25" s="5"/>
      <c r="BE25" s="5" t="s">
        <v>52</v>
      </c>
    </row>
    <row r="26" spans="1:57" ht="57">
      <c r="A26" s="5" t="s">
        <v>137</v>
      </c>
      <c r="B26" s="5" t="s">
        <v>272</v>
      </c>
      <c r="C26" s="5" t="s">
        <v>318</v>
      </c>
      <c r="D26" s="5" t="s">
        <v>139</v>
      </c>
      <c r="E26" s="5"/>
      <c r="F26" s="5"/>
      <c r="G26" s="5"/>
      <c r="H26" s="5" t="s">
        <v>251</v>
      </c>
      <c r="I26" s="5"/>
      <c r="J26" s="5"/>
      <c r="K26" s="5"/>
      <c r="L26" s="5"/>
      <c r="M26" s="5"/>
      <c r="N26" s="5"/>
      <c r="O26" s="5" t="s">
        <v>139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 t="s">
        <v>252</v>
      </c>
      <c r="AC26" s="5"/>
      <c r="AD26" s="5"/>
      <c r="AE26" s="5" t="s">
        <v>45</v>
      </c>
      <c r="AF26" s="5" t="s">
        <v>48</v>
      </c>
      <c r="AG26" s="5" t="s">
        <v>47</v>
      </c>
      <c r="AH26" s="5" t="s">
        <v>54</v>
      </c>
      <c r="AI26" s="5" t="s">
        <v>253</v>
      </c>
      <c r="AJ26" s="5"/>
      <c r="AK26" s="5"/>
      <c r="AL26" s="5" t="s">
        <v>189</v>
      </c>
      <c r="AM26" s="5" t="s">
        <v>49</v>
      </c>
      <c r="AN26" s="5" t="s">
        <v>319</v>
      </c>
      <c r="AO26" s="5"/>
      <c r="AP26" s="5" t="s">
        <v>255</v>
      </c>
      <c r="AQ26" s="5"/>
      <c r="AR26" s="5"/>
      <c r="AS26" s="5"/>
      <c r="AT26" s="5" t="s">
        <v>50</v>
      </c>
      <c r="AU26" s="5" t="s">
        <v>51</v>
      </c>
      <c r="AV26" s="5" t="s">
        <v>256</v>
      </c>
      <c r="AW26" s="5"/>
      <c r="AX26" s="5"/>
      <c r="AY26" s="5"/>
      <c r="AZ26" s="5"/>
      <c r="BA26" s="5"/>
      <c r="BB26" s="5"/>
      <c r="BC26" s="5"/>
      <c r="BD26" s="5"/>
      <c r="BE26" s="5" t="s">
        <v>52</v>
      </c>
    </row>
    <row r="27" spans="1:57" ht="57">
      <c r="A27" s="5" t="s">
        <v>140</v>
      </c>
      <c r="B27" s="5" t="s">
        <v>320</v>
      </c>
      <c r="C27" s="5" t="s">
        <v>321</v>
      </c>
      <c r="D27" s="5" t="s">
        <v>142</v>
      </c>
      <c r="E27" s="5"/>
      <c r="F27" s="5"/>
      <c r="G27" s="5"/>
      <c r="H27" s="5" t="s">
        <v>251</v>
      </c>
      <c r="I27" s="5"/>
      <c r="J27" s="5"/>
      <c r="K27" s="5"/>
      <c r="L27" s="5"/>
      <c r="M27" s="5"/>
      <c r="N27" s="5"/>
      <c r="O27" s="5" t="s">
        <v>142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 t="s">
        <v>252</v>
      </c>
      <c r="AC27" s="5"/>
      <c r="AD27" s="5"/>
      <c r="AE27" s="5" t="s">
        <v>45</v>
      </c>
      <c r="AF27" s="5" t="s">
        <v>48</v>
      </c>
      <c r="AG27" s="5" t="s">
        <v>47</v>
      </c>
      <c r="AH27" s="5" t="s">
        <v>54</v>
      </c>
      <c r="AI27" s="5" t="s">
        <v>253</v>
      </c>
      <c r="AJ27" s="5"/>
      <c r="AK27" s="5"/>
      <c r="AL27" s="5" t="s">
        <v>189</v>
      </c>
      <c r="AM27" s="5" t="s">
        <v>49</v>
      </c>
      <c r="AN27" s="5" t="s">
        <v>322</v>
      </c>
      <c r="AO27" s="5"/>
      <c r="AP27" s="5" t="s">
        <v>255</v>
      </c>
      <c r="AQ27" s="5"/>
      <c r="AR27" s="5"/>
      <c r="AS27" s="5"/>
      <c r="AT27" s="5" t="s">
        <v>50</v>
      </c>
      <c r="AU27" s="5" t="s">
        <v>51</v>
      </c>
      <c r="AV27" s="5" t="s">
        <v>256</v>
      </c>
      <c r="AW27" s="5"/>
      <c r="AX27" s="5"/>
      <c r="AY27" s="5"/>
      <c r="AZ27" s="5"/>
      <c r="BA27" s="5"/>
      <c r="BB27" s="5"/>
      <c r="BC27" s="5"/>
      <c r="BD27" s="5"/>
      <c r="BE27" s="5" t="s">
        <v>52</v>
      </c>
    </row>
    <row r="28" spans="1:57" ht="57">
      <c r="A28" s="5" t="s">
        <v>143</v>
      </c>
      <c r="B28" s="5" t="s">
        <v>323</v>
      </c>
      <c r="C28" s="5" t="s">
        <v>324</v>
      </c>
      <c r="D28" s="5" t="s">
        <v>145</v>
      </c>
      <c r="E28" s="5"/>
      <c r="F28" s="5"/>
      <c r="G28" s="5"/>
      <c r="H28" s="5" t="s">
        <v>251</v>
      </c>
      <c r="I28" s="5"/>
      <c r="J28" s="5"/>
      <c r="K28" s="5"/>
      <c r="L28" s="5"/>
      <c r="M28" s="5"/>
      <c r="N28" s="5"/>
      <c r="O28" s="5" t="s">
        <v>145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 t="s">
        <v>252</v>
      </c>
      <c r="AC28" s="5"/>
      <c r="AD28" s="5"/>
      <c r="AE28" s="5" t="s">
        <v>45</v>
      </c>
      <c r="AF28" s="5" t="s">
        <v>48</v>
      </c>
      <c r="AG28" s="5" t="s">
        <v>69</v>
      </c>
      <c r="AH28" s="5" t="s">
        <v>54</v>
      </c>
      <c r="AI28" s="5" t="s">
        <v>253</v>
      </c>
      <c r="AJ28" s="5"/>
      <c r="AK28" s="5"/>
      <c r="AL28" s="5" t="s">
        <v>189</v>
      </c>
      <c r="AM28" s="5" t="s">
        <v>49</v>
      </c>
      <c r="AN28" s="5" t="s">
        <v>325</v>
      </c>
      <c r="AO28" s="5"/>
      <c r="AP28" s="5" t="s">
        <v>255</v>
      </c>
      <c r="AQ28" s="5"/>
      <c r="AR28" s="5"/>
      <c r="AS28" s="5"/>
      <c r="AT28" s="5" t="s">
        <v>50</v>
      </c>
      <c r="AU28" s="5" t="s">
        <v>51</v>
      </c>
      <c r="AV28" s="5" t="s">
        <v>256</v>
      </c>
      <c r="AW28" s="5"/>
      <c r="AX28" s="5"/>
      <c r="AY28" s="5"/>
      <c r="AZ28" s="5"/>
      <c r="BA28" s="5"/>
      <c r="BB28" s="5"/>
      <c r="BC28" s="5"/>
      <c r="BD28" s="5"/>
      <c r="BE28" s="5" t="s">
        <v>52</v>
      </c>
    </row>
    <row r="29" spans="1:57" ht="57">
      <c r="A29" s="5" t="s">
        <v>146</v>
      </c>
      <c r="B29" s="5" t="s">
        <v>326</v>
      </c>
      <c r="C29" s="5" t="s">
        <v>327</v>
      </c>
      <c r="D29" s="5" t="s">
        <v>148</v>
      </c>
      <c r="E29" s="5"/>
      <c r="F29" s="5"/>
      <c r="G29" s="5"/>
      <c r="H29" s="5" t="s">
        <v>251</v>
      </c>
      <c r="I29" s="5"/>
      <c r="J29" s="5"/>
      <c r="K29" s="5"/>
      <c r="L29" s="5"/>
      <c r="M29" s="5"/>
      <c r="N29" s="5"/>
      <c r="O29" s="5" t="s">
        <v>148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 t="s">
        <v>252</v>
      </c>
      <c r="AC29" s="5"/>
      <c r="AD29" s="5"/>
      <c r="AE29" s="5" t="s">
        <v>45</v>
      </c>
      <c r="AF29" s="5" t="s">
        <v>48</v>
      </c>
      <c r="AG29" s="5" t="s">
        <v>47</v>
      </c>
      <c r="AH29" s="5" t="s">
        <v>54</v>
      </c>
      <c r="AI29" s="5" t="s">
        <v>253</v>
      </c>
      <c r="AJ29" s="5"/>
      <c r="AK29" s="5"/>
      <c r="AL29" s="5" t="s">
        <v>189</v>
      </c>
      <c r="AM29" s="5" t="s">
        <v>49</v>
      </c>
      <c r="AN29" s="5" t="s">
        <v>315</v>
      </c>
      <c r="AO29" s="5"/>
      <c r="AP29" s="5" t="s">
        <v>255</v>
      </c>
      <c r="AQ29" s="5"/>
      <c r="AR29" s="5"/>
      <c r="AS29" s="5"/>
      <c r="AT29" s="5" t="s">
        <v>50</v>
      </c>
      <c r="AU29" s="5" t="s">
        <v>51</v>
      </c>
      <c r="AV29" s="5" t="s">
        <v>256</v>
      </c>
      <c r="AW29" s="5"/>
      <c r="AX29" s="5"/>
      <c r="AY29" s="5"/>
      <c r="AZ29" s="5"/>
      <c r="BA29" s="5"/>
      <c r="BB29" s="5"/>
      <c r="BC29" s="5"/>
      <c r="BD29" s="5"/>
      <c r="BE29" s="5" t="s">
        <v>52</v>
      </c>
    </row>
    <row r="30" spans="1:57" ht="57">
      <c r="A30" s="5" t="s">
        <v>149</v>
      </c>
      <c r="B30" s="5" t="s">
        <v>272</v>
      </c>
      <c r="C30" s="5" t="s">
        <v>328</v>
      </c>
      <c r="D30" s="5" t="s">
        <v>151</v>
      </c>
      <c r="E30" s="5"/>
      <c r="F30" s="5"/>
      <c r="G30" s="5"/>
      <c r="H30" s="5" t="s">
        <v>251</v>
      </c>
      <c r="I30" s="5"/>
      <c r="J30" s="5"/>
      <c r="K30" s="5"/>
      <c r="L30" s="5"/>
      <c r="M30" s="5"/>
      <c r="N30" s="5"/>
      <c r="O30" s="5" t="s">
        <v>151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 t="s">
        <v>252</v>
      </c>
      <c r="AC30" s="5"/>
      <c r="AD30" s="5"/>
      <c r="AE30" s="5" t="s">
        <v>45</v>
      </c>
      <c r="AF30" s="5" t="s">
        <v>48</v>
      </c>
      <c r="AG30" s="5" t="s">
        <v>47</v>
      </c>
      <c r="AH30" s="5" t="s">
        <v>54</v>
      </c>
      <c r="AI30" s="5" t="s">
        <v>253</v>
      </c>
      <c r="AJ30" s="5"/>
      <c r="AK30" s="5"/>
      <c r="AL30" s="5" t="s">
        <v>189</v>
      </c>
      <c r="AM30" s="5" t="s">
        <v>49</v>
      </c>
      <c r="AN30" s="5" t="s">
        <v>329</v>
      </c>
      <c r="AO30" s="5"/>
      <c r="AP30" s="5" t="s">
        <v>255</v>
      </c>
      <c r="AQ30" s="5"/>
      <c r="AR30" s="5"/>
      <c r="AS30" s="5"/>
      <c r="AT30" s="5" t="s">
        <v>50</v>
      </c>
      <c r="AU30" s="5" t="s">
        <v>51</v>
      </c>
      <c r="AV30" s="5" t="s">
        <v>256</v>
      </c>
      <c r="AW30" s="5"/>
      <c r="AX30" s="5"/>
      <c r="AY30" s="5"/>
      <c r="AZ30" s="5"/>
      <c r="BA30" s="5"/>
      <c r="BB30" s="5"/>
      <c r="BC30" s="5"/>
      <c r="BD30" s="5"/>
      <c r="BE30" s="5" t="s">
        <v>52</v>
      </c>
    </row>
    <row r="31" spans="1:57" ht="57">
      <c r="A31" s="5" t="s">
        <v>152</v>
      </c>
      <c r="B31" s="5" t="s">
        <v>330</v>
      </c>
      <c r="C31" s="5" t="s">
        <v>331</v>
      </c>
      <c r="D31" s="5" t="s">
        <v>154</v>
      </c>
      <c r="E31" s="5"/>
      <c r="F31" s="5"/>
      <c r="G31" s="5"/>
      <c r="H31" s="5" t="s">
        <v>251</v>
      </c>
      <c r="I31" s="5"/>
      <c r="J31" s="5"/>
      <c r="K31" s="5"/>
      <c r="L31" s="5"/>
      <c r="M31" s="5"/>
      <c r="N31" s="5"/>
      <c r="O31" s="5" t="s">
        <v>154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 t="s">
        <v>252</v>
      </c>
      <c r="AC31" s="5"/>
      <c r="AD31" s="5"/>
      <c r="AE31" s="5" t="s">
        <v>45</v>
      </c>
      <c r="AF31" s="5" t="s">
        <v>48</v>
      </c>
      <c r="AG31" s="5" t="s">
        <v>47</v>
      </c>
      <c r="AH31" s="5" t="s">
        <v>54</v>
      </c>
      <c r="AI31" s="5" t="s">
        <v>253</v>
      </c>
      <c r="AJ31" s="5"/>
      <c r="AK31" s="5"/>
      <c r="AL31" s="5" t="s">
        <v>189</v>
      </c>
      <c r="AM31" s="5" t="s">
        <v>49</v>
      </c>
      <c r="AN31" s="5" t="s">
        <v>332</v>
      </c>
      <c r="AO31" s="5"/>
      <c r="AP31" s="5" t="s">
        <v>255</v>
      </c>
      <c r="AQ31" s="5"/>
      <c r="AR31" s="5"/>
      <c r="AS31" s="5"/>
      <c r="AT31" s="5" t="s">
        <v>50</v>
      </c>
      <c r="AU31" s="5" t="s">
        <v>51</v>
      </c>
      <c r="AV31" s="5" t="s">
        <v>256</v>
      </c>
      <c r="AW31" s="5"/>
      <c r="AX31" s="5"/>
      <c r="AY31" s="5"/>
      <c r="AZ31" s="5"/>
      <c r="BA31" s="5"/>
      <c r="BB31" s="5"/>
      <c r="BC31" s="5"/>
      <c r="BD31" s="5"/>
      <c r="BE31" s="5" t="s">
        <v>52</v>
      </c>
    </row>
    <row r="32" spans="1:57" ht="57">
      <c r="A32" s="5" t="s">
        <v>155</v>
      </c>
      <c r="B32" s="5" t="s">
        <v>282</v>
      </c>
      <c r="C32" s="5" t="s">
        <v>333</v>
      </c>
      <c r="D32" s="5" t="s">
        <v>157</v>
      </c>
      <c r="E32" s="5"/>
      <c r="F32" s="5"/>
      <c r="G32" s="5"/>
      <c r="H32" s="5" t="s">
        <v>251</v>
      </c>
      <c r="I32" s="5"/>
      <c r="J32" s="5"/>
      <c r="K32" s="5"/>
      <c r="L32" s="5"/>
      <c r="M32" s="5"/>
      <c r="N32" s="5"/>
      <c r="O32" s="5" t="s">
        <v>157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 t="s">
        <v>252</v>
      </c>
      <c r="AC32" s="5"/>
      <c r="AD32" s="5"/>
      <c r="AE32" s="5" t="s">
        <v>158</v>
      </c>
      <c r="AF32" s="5" t="s">
        <v>48</v>
      </c>
      <c r="AG32" s="5" t="s">
        <v>69</v>
      </c>
      <c r="AH32" s="5" t="s">
        <v>54</v>
      </c>
      <c r="AI32" s="5" t="s">
        <v>297</v>
      </c>
      <c r="AJ32" s="5" t="s">
        <v>112</v>
      </c>
      <c r="AK32" s="5"/>
      <c r="AL32" s="5" t="s">
        <v>189</v>
      </c>
      <c r="AM32" s="5" t="s">
        <v>49</v>
      </c>
      <c r="AN32" s="5" t="s">
        <v>334</v>
      </c>
      <c r="AO32" s="5"/>
      <c r="AP32" s="5" t="s">
        <v>255</v>
      </c>
      <c r="AQ32" s="5"/>
      <c r="AR32" s="5"/>
      <c r="AS32" s="5"/>
      <c r="AT32" s="5" t="s">
        <v>50</v>
      </c>
      <c r="AU32" s="5" t="s">
        <v>51</v>
      </c>
      <c r="AV32" s="5" t="s">
        <v>256</v>
      </c>
      <c r="AW32" s="5"/>
      <c r="AX32" s="5"/>
      <c r="AY32" s="5"/>
      <c r="AZ32" s="5"/>
      <c r="BA32" s="5"/>
      <c r="BB32" s="5"/>
      <c r="BC32" s="5"/>
      <c r="BD32" s="5"/>
      <c r="BE32" s="5" t="s">
        <v>52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首頁摘要</vt:lpstr>
      <vt:lpstr>員工主檔</vt:lpstr>
      <vt:lpstr>生日名單</vt:lpstr>
      <vt:lpstr>編組與規則</vt:lpstr>
      <vt:lpstr>原始資料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謝子元</dc:creator>
  <cp:lastModifiedBy>Jack Hsieh</cp:lastModifiedBy>
  <dcterms:modified xsi:type="dcterms:W3CDTF">2026-07-10T00:23:08Z</dcterms:modified>
</cp:coreProperties>
</file>